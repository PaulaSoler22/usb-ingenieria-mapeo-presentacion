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msy\Downloads\usb-ingenieria-mapeo-presentacion\"/>
    </mc:Choice>
  </mc:AlternateContent>
  <xr:revisionPtr revIDLastSave="0" documentId="13_ncr:1_{151F3859-FA21-4CF7-A6A2-689185496AA7}" xr6:coauthVersionLast="47" xr6:coauthVersionMax="47" xr10:uidLastSave="{00000000-0000-0000-0000-000000000000}"/>
  <bookViews>
    <workbookView xWindow="-28920" yWindow="-2640" windowWidth="29040" windowHeight="15720" tabRatio="500" firstSheet="1" activeTab="1" xr2:uid="{00000000-000D-0000-FFFF-FFFF00000000}"/>
  </bookViews>
  <sheets>
    <sheet name="Resumen Ejecutivo" sheetId="1" r:id="rId1"/>
    <sheet name="Industrial" sheetId="2" r:id="rId2"/>
    <sheet name="Sistemas" sheetId="3" r:id="rId3"/>
    <sheet name="Multimedia" sheetId="4" r:id="rId4"/>
    <sheet name="Agroindustrial" sheetId="5" r:id="rId5"/>
    <sheet name="Biomédica" sheetId="6" r:id="rId6"/>
    <sheet name="Electrónica" sheetId="7" r:id="rId7"/>
    <sheet name="Biológica" sheetId="8" r:id="rId8"/>
    <sheet name="Priorización" sheetId="9" r:id="rId9"/>
    <sheet name="Desarrollos Propios" sheetId="10" r:id="rId10"/>
    <sheet name="Recomendaciones" sheetId="11" r:id="rId11"/>
    <sheet name="Catálogo CompanyGame" sheetId="12" r:id="rId12"/>
  </sheets>
  <definedNames>
    <definedName name="_xlnm._FilterDatabase" localSheetId="4" hidden="1">Agroindustrial!$A$4:$V$62</definedName>
    <definedName name="_xlnm._FilterDatabase" localSheetId="7" hidden="1">Biológica!$A$4:$V$59</definedName>
    <definedName name="_xlnm._FilterDatabase" localSheetId="5" hidden="1">Biomédica!$A$4:$V$65</definedName>
    <definedName name="_xlnm._FilterDatabase" localSheetId="9" hidden="1">'Desarrollos Propios'!$A$4:$J$14</definedName>
    <definedName name="_xlnm._FilterDatabase" localSheetId="6" hidden="1">Electrónica!$A$4:$V$62</definedName>
    <definedName name="_xlnm._FilterDatabase" localSheetId="1" hidden="1">Industrial!$A$4:$V$62</definedName>
    <definedName name="_xlnm._FilterDatabase" localSheetId="3" hidden="1">Multimedia!$A$4:$V$62</definedName>
    <definedName name="_xlnm._FilterDatabase" localSheetId="8" hidden="1">Priorización!$A$4:$L$29</definedName>
    <definedName name="_xlnm._FilterDatabase" localSheetId="10" hidden="1">Recomendaciones!$A$14:$F$29</definedName>
    <definedName name="_xlnm._FilterDatabase" localSheetId="2" hidden="1">Sistemas!$A$4:$V$68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 i="1" l="1"/>
  <c r="G26" i="1"/>
  <c r="F26" i="1"/>
  <c r="E26" i="1"/>
  <c r="D26" i="1"/>
  <c r="C26" i="1"/>
  <c r="B26" i="1"/>
  <c r="I26" i="1" s="1"/>
  <c r="H25" i="1"/>
  <c r="G25" i="1"/>
  <c r="F25" i="1"/>
  <c r="E25" i="1"/>
  <c r="D25" i="1"/>
  <c r="C25" i="1"/>
  <c r="B25" i="1"/>
  <c r="H24" i="1"/>
  <c r="G24" i="1"/>
  <c r="F24" i="1"/>
  <c r="E24" i="1"/>
  <c r="D24" i="1"/>
  <c r="C24" i="1"/>
  <c r="B24" i="1"/>
  <c r="H23" i="1"/>
  <c r="G23" i="1"/>
  <c r="F23" i="1"/>
  <c r="E23" i="1"/>
  <c r="D23" i="1"/>
  <c r="C23" i="1"/>
  <c r="B23" i="1"/>
  <c r="H19" i="1"/>
  <c r="G19" i="1"/>
  <c r="F19" i="1"/>
  <c r="E19" i="1"/>
  <c r="D19" i="1"/>
  <c r="C19" i="1"/>
  <c r="B19" i="1"/>
  <c r="H18" i="1"/>
  <c r="G18" i="1"/>
  <c r="F18" i="1"/>
  <c r="E18" i="1"/>
  <c r="D18" i="1"/>
  <c r="C18" i="1"/>
  <c r="B18" i="1"/>
  <c r="H17" i="1"/>
  <c r="G17" i="1"/>
  <c r="F17" i="1"/>
  <c r="E17" i="1"/>
  <c r="D17" i="1"/>
  <c r="C17" i="1"/>
  <c r="B17" i="1"/>
  <c r="H16" i="1"/>
  <c r="G16" i="1"/>
  <c r="F16" i="1"/>
  <c r="E16" i="1"/>
  <c r="D16" i="1"/>
  <c r="C16" i="1"/>
  <c r="B16" i="1"/>
  <c r="H11" i="1"/>
  <c r="G11" i="1"/>
  <c r="F11" i="1"/>
  <c r="E11" i="1"/>
  <c r="D11" i="1"/>
  <c r="C11" i="1"/>
  <c r="B11" i="1"/>
  <c r="I11" i="1" s="1"/>
  <c r="H10" i="1"/>
  <c r="G10" i="1"/>
  <c r="F10" i="1"/>
  <c r="E10" i="1"/>
  <c r="D10" i="1"/>
  <c r="C10" i="1"/>
  <c r="B10" i="1"/>
  <c r="I10" i="1" s="1"/>
  <c r="I23" i="1" l="1"/>
  <c r="I24" i="1"/>
  <c r="I25" i="1"/>
  <c r="I17" i="1"/>
  <c r="I18" i="1"/>
  <c r="I16" i="1"/>
  <c r="I19" i="1"/>
</calcChain>
</file>

<file path=xl/sharedStrings.xml><?xml version="1.0" encoding="utf-8"?>
<sst xmlns="http://schemas.openxmlformats.org/spreadsheetml/2006/main" count="9613" uniqueCount="957">
  <si>
    <t>Análisis de mallas curriculares y aplicación de simuladores de negocios</t>
  </si>
  <si>
    <t>Universidad de San Buenaventura – Facultad de Ingeniería · 7 programas de pregrado · SimVenture · SimAgile · SimProject · catálogo CompanyGame · desarrollos propios</t>
  </si>
  <si>
    <t>1. Alcance del análisis</t>
  </si>
  <si>
    <t>Se analizaron, asignatura por asignatura, las siete láminas de plan de estudios de la Facultad de Ingeniería entregadas por el cliente, para identificar dónde pueden integrarse SimVenture, SimAgile, SimProject y el catálogo CompanyGame, y dónde existe oportunidad de desarrollar simuladores propios.</t>
  </si>
  <si>
    <t>No se incorporó ninguna asignatura, competencia o simulador que no aparezca en esos documentos. Los criterios de calificación son los mismos usados en el análisis de la Universidad Libre, de modo que las dos universidades son comparables.</t>
  </si>
  <si>
    <t>2. Espacios académicos analizados por programa</t>
  </si>
  <si>
    <t>Indicador</t>
  </si>
  <si>
    <t>Industrial</t>
  </si>
  <si>
    <t>Sistemas</t>
  </si>
  <si>
    <t>Multimedia</t>
  </si>
  <si>
    <t>Agroindustrial</t>
  </si>
  <si>
    <t>Biomédica</t>
  </si>
  <si>
    <t>Electrónica</t>
  </si>
  <si>
    <t>Biológica</t>
  </si>
  <si>
    <t>Total</t>
  </si>
  <si>
    <t>Espacios académicos</t>
  </si>
  <si>
    <t>Créditos del programa</t>
  </si>
  <si>
    <t>Semestres</t>
  </si>
  <si>
    <t>3. Grado de ajuste con el catálogo CompanyGame (número de espacios académicos)</t>
  </si>
  <si>
    <t>Grado de ajuste</t>
  </si>
  <si>
    <t>Encaje perfecto</t>
  </si>
  <si>
    <t>Encaje parcial</t>
  </si>
  <si>
    <t>No encaja</t>
  </si>
  <si>
    <t>Por definir</t>
  </si>
  <si>
    <t>4. Compatibilidad Alta o Media por simulador (número de espacios académicos)</t>
  </si>
  <si>
    <t>Simulador</t>
  </si>
  <si>
    <t>SimVenture</t>
  </si>
  <si>
    <t>SimAgile</t>
  </si>
  <si>
    <t>SimProject</t>
  </si>
  <si>
    <t>Desarrollo propio (oportunidad)</t>
  </si>
  <si>
    <t>Todos los conteos se calculan con fórmulas sobre las hojas de programa: si se ajusta una calificación, este resumen se actualiza solo.</t>
  </si>
  <si>
    <t>5. Principales hallazgos</t>
  </si>
  <si>
    <t>•  Ingeniería Industrial es, con diferencia, el programa de mayor potencial: concentra la línea de gestión empresarial (Gestión Estratégica Organizacional, Ingeniería de Costos, Ingeniería Económica, Investigación de Mercados, Gerencia de Proyectos, Diseño de Productos y Servicios) entre los semestres 4 y 7.</t>
  </si>
  <si>
    <t>•  Ingeniería de Sistemas tiene la línea de software más larga de la facultad (semestres 2 a 9) y es el terreno natural de SimAgile y SimProject: Análisis y Diseño de Software, Diseño de Proyectos de Software, Gestión de Proyectos de Software, los dos Proyectos de Diseño y Evaluación de Proyectos de Software.</t>
  </si>
  <si>
    <t>•  Hallazgo principal: Ingeniería de Sistemas tiene CÁTEDRA DE EMPRENDIMIENTO (semestre 7, 3 créditos), el único espacio de emprendimiento de los siete programas. Es el encaje más natural de todo el catálogo y la puerta de entrada de la familia Emprendimiento de CompanyGame.</t>
  </si>
  <si>
    <t>•  INTRODUCCIÓN A LA INGENIERÍA está en los siete programas: un simulador CompanyGame de nivel 1-2 (T-Shirt o Sunny Day) es la entrada de mayor volumen de estudiantes de toda la facultad, con el menor costo de entrada.</t>
  </si>
  <si>
    <t>•  PRÁCTICA PROFESIONAL también está en los siete programas, con 6 o 7 créditos. No es la venta principal, pero es un uso de baja resistencia docente que sirve para abrir la conversación en cualquier programa.</t>
  </si>
  <si>
    <t>•  GERENCIA DE PROYECTOS DE INGENIERÍA aparece con el mismo nombre en Industrial, Agroindustrial y Biológica: una sola demostración de SimProject puede cerrar tres cursos. El catálogo CompanyGame no tiene un simulador de dirección de proyectos, así que aquí SimProject no compite con el propio portafolio.</t>
  </si>
  <si>
    <t>•  El sello franciscano abre la puerta de ESG: FRANCISCANISMO Y ECOLOGÍA (Sistemas y Biomédica), ECOLOGÍA AGRÍCOLA y AGRICULTURA REGENERATIVA (Biológica) son espacios donde la familia ESG Management encaja como conversación de identidad institucional y no sólo de contenido.</t>
  </si>
  <si>
    <t>•  Ingeniería Electrónica y Ingeniería Multimedia son los programas de menor encaje con el portafolio actual: Electrónica tiene una sola asignatura de gestión (Gestión de Productos Tecnológicos) y Multimedia dos (Gestión en Proyectos y Proyecto en Ingeniería). Conviene entrar por ahí y no forzar el resto de la malla.</t>
  </si>
  <si>
    <t>•  Ingeniería Biomédica queda prácticamente fuera del portafolio actual: sólo Valoración de Proyectos e Ingeniería Clínica I y II tienen componente de gestión. Es el programa que más justifica un desarrollo propio (gestión de tecnología hospitalaria).</t>
  </si>
  <si>
    <t>•  La línea de producción y operaciones de Industrial, Agroindustrial y Biológica (nueve asignaturas) no tiene ningún simulador aplicable, ni propio ni del catálogo. Es el mayor vacío y el desarrollo propio con más asignaturas destino de toda la facultad.</t>
  </si>
  <si>
    <t>•  La familia HORECA del catálogo no tiene ninguna asignatura destino en los siete programas y se marcó como 'No encaja' de forma explícita: proponerla aquí restaría credibilidad ante el decano.</t>
  </si>
  <si>
    <t>•  Las láminas no publican contenidos programáticos: todas las competencias y temáticas de este análisis son inferencias sobre el nombre, el semestre y el componente de formación de cada asignatura.</t>
  </si>
  <si>
    <t>6. Top 15 oportunidades</t>
  </si>
  <si>
    <t>#</t>
  </si>
  <si>
    <t>Programa</t>
  </si>
  <si>
    <t>Sem.</t>
  </si>
  <si>
    <t>Asignatura</t>
  </si>
  <si>
    <t>Grado CG</t>
  </si>
  <si>
    <t>Prioridad</t>
  </si>
  <si>
    <t>S7</t>
  </si>
  <si>
    <t>Cátedra de Emprendimiento</t>
  </si>
  <si>
    <t>SimVenture o la familia Emprendimiento de CompanyGame</t>
  </si>
  <si>
    <t>Alta</t>
  </si>
  <si>
    <t>Industrial · Agroindustrial · Biológica</t>
  </si>
  <si>
    <t>S5, S6</t>
  </si>
  <si>
    <t>Gerencia de Proyectos de Ingeniería</t>
  </si>
  <si>
    <t>S4</t>
  </si>
  <si>
    <t>Gestión Estratégica Organizacional</t>
  </si>
  <si>
    <t>SimVenture o Business21 / Businessglobal (CompanyGame)</t>
  </si>
  <si>
    <t>Industrial · Agroindustrial</t>
  </si>
  <si>
    <t>S5</t>
  </si>
  <si>
    <t>Ingeniería Económica</t>
  </si>
  <si>
    <t>SimVenture + SimProject o Kapital (CompanyGame)</t>
  </si>
  <si>
    <t>Industrial · Biológica</t>
  </si>
  <si>
    <t>Ingeniería de Costos</t>
  </si>
  <si>
    <t>SimVenture o ContaTrainer (CompanyGame)</t>
  </si>
  <si>
    <t>S9</t>
  </si>
  <si>
    <t>Evaluación de Proyectos de Software</t>
  </si>
  <si>
    <t>SimVenture + SimProject; alternativa CompanyGame: familia Emprendimiento</t>
  </si>
  <si>
    <t>S6</t>
  </si>
  <si>
    <t>Diseño de Productos y Servicios</t>
  </si>
  <si>
    <t>SimAgile (principal) + SimVenture o InnovaTech (CompanyGame)</t>
  </si>
  <si>
    <t>Valoración de Proyectos</t>
  </si>
  <si>
    <t>Gestión de Productos Tecnológicos</t>
  </si>
  <si>
    <t>Gestión de Proyectos de Software</t>
  </si>
  <si>
    <t>SimAgile (principal) + SimProject (complementario)</t>
  </si>
  <si>
    <t>Investigación de Mercados</t>
  </si>
  <si>
    <t>SimVenture o MarketGame / SalesManager (CompanyGame)</t>
  </si>
  <si>
    <t>Mercadeo e Investigación de Mercados</t>
  </si>
  <si>
    <t>Prototipado de Soluciones Tecnológicas</t>
  </si>
  <si>
    <t>S8</t>
  </si>
  <si>
    <t>Proyecto de Diseño de Ingeniería de Software II</t>
  </si>
  <si>
    <t>Proyecto en Ingeniería</t>
  </si>
  <si>
    <t>El detalle con el argumento comercial está en la hoja 'Priorización'.</t>
  </si>
  <si>
    <t>7. Criterios de calificación</t>
  </si>
  <si>
    <t>ALTA</t>
  </si>
  <si>
    <t>El objeto central de aprendizaje de la asignatura coincide con el dominio de decisión que modela el simulador. Puede ser eje del curso o de una unidad completa.</t>
  </si>
  <si>
    <t>MEDIA</t>
  </si>
  <si>
    <t>El dominio del simulador cubre una parte de la asignatura (una unidad, un eje transversal o el contexto). Aporta como actividad complementaria o de integración.</t>
  </si>
  <si>
    <t>BAJA</t>
  </si>
  <si>
    <t>Ciencias básicas, formación humanística o dominio técnico específico sin decisiones de gestión, proyecto o negocio. El simulador no aporta a sus resultados de aprendizaje.</t>
  </si>
  <si>
    <t>NO EVALUABLE</t>
  </si>
  <si>
    <t>Espacios electivos cuyo contenido no está definido en la malla. Se tratan como espacios de inserción curricular.</t>
  </si>
  <si>
    <t>ENCAJE PERFECTO (CompanyGame)</t>
  </si>
  <si>
    <t>Un simulador del catálogo cubre el objeto central del curso.</t>
  </si>
  <si>
    <t>ENCAJE PARCIAL (CompanyGame)</t>
  </si>
  <si>
    <t>Un simulador del catálogo cubre una unidad o el contexto del curso.</t>
  </si>
  <si>
    <t>NO ENCAJA (CompanyGame)</t>
  </si>
  <si>
    <t>Ningún simulador del catálogo aplica a la asignatura.</t>
  </si>
  <si>
    <t>8. Notas sobre la fuente y sus límites</t>
  </si>
  <si>
    <t>•  Fuente única del análisis curricular: las siete láminas de plan de estudios de la Facultad de Ingeniería de la Universidad de San Buenaventura entregadas por el cliente.</t>
  </si>
  <si>
    <t>•  Información explícita tomada de la fuente: nombre de la asignatura, semestre, número de créditos y componente de formación (leído del color del chip de créditos y contrastado contra la leyenda de cada lámina).</t>
  </si>
  <si>
    <t>•  Información inferida por el analista: área temática, competencias, temáticas principales, relación con la gestión y todos los niveles de compatibilidad. Las láminas no incluyen contenidos programáticos ni resultados de aprendizaje; conviene validar con los microcurrículos antes de la reunión.</t>
  </si>
  <si>
    <t>•  Fuente del catálogo CompanyGame: el cuadro de portafolio entregado por el cliente (41 simuladores en 7 familias).</t>
  </si>
  <si>
    <t>•  La lámina de Ingeniería de Sistemas no trae leyenda de componentes de formación: esa columna queda como 'No disponible en la fuente' para los 64 espacios de ese programa.</t>
  </si>
  <si>
    <t>•  La lámina de Ingeniería Biológica no publica componente de formación sino modalidad (presencial mediado por las TIC / virtual); siguiendo la instrucción del cliente, la columna de componente queda como no disponible.</t>
  </si>
  <si>
    <t>•  Observaciones sobre la fuente: en tres láminas el total de créditos impreso no coincide con la suma de las tarjetas dibujadas — Sistemas semestre 5 (impreso 19, tarjetas 18), Multimedia semestre 6 (impreso 19, tarjetas 17) y Electrónica semestre 6 (impreso 18, tarjetas 17). Conviene verificarlo con la facultad.</t>
  </si>
  <si>
    <t>•  Ingeniería Electrónica y Ingeniería Biológica comparten el mismo número de SNIES en las láminas entregadas (3828), lo que probablemente sea un error de la fuente.</t>
  </si>
  <si>
    <t>Matriz de relacionamiento – Ingeniería Industrial</t>
  </si>
  <si>
    <t>Universidad de San Buenaventura – Facultad de Ingeniería · SNIES 4466 · 8 semestres · 58 espacios académicos · 144 créditos</t>
  </si>
  <si>
    <t>Semestre</t>
  </si>
  <si>
    <t>Créditos</t>
  </si>
  <si>
    <t>Componente de formación</t>
  </si>
  <si>
    <t>Área temática</t>
  </si>
  <si>
    <t>Competencias principales</t>
  </si>
  <si>
    <t>Temáticas principales</t>
  </si>
  <si>
    <t>Relación con gestión / negocio</t>
  </si>
  <si>
    <t>Simulador CompanyGame que encaja</t>
  </si>
  <si>
    <t>Nivel CG</t>
  </si>
  <si>
    <t>Desarrollo propio</t>
  </si>
  <si>
    <t>Tipo de simulador que se requeriría</t>
  </si>
  <si>
    <t>Simulador recomendado</t>
  </si>
  <si>
    <t>Justificación de la recomendación</t>
  </si>
  <si>
    <t>Tipo de uso sugerido</t>
  </si>
  <si>
    <t>Prioridad comercial</t>
  </si>
  <si>
    <t>Origen de competencias y temáticas</t>
  </si>
  <si>
    <t>Ingeniería Industrial</t>
  </si>
  <si>
    <t>Semestre 1</t>
  </si>
  <si>
    <t>Matemática Fundamental</t>
  </si>
  <si>
    <t>Ciencias Básicas</t>
  </si>
  <si>
    <t>Ciencias básicas – matemáticas</t>
  </si>
  <si>
    <t>Razonamiento matemático y modelado cuantitativo</t>
  </si>
  <si>
    <t>Contenidos matemáticos propios del curso</t>
  </si>
  <si>
    <t>Nula</t>
  </si>
  <si>
    <t>Baja</t>
  </si>
  <si>
    <t>—</t>
  </si>
  <si>
    <t>No requiere simulador — asignatura sin decisiones de gestión, proyecto o negocio</t>
  </si>
  <si>
    <t>Ninguno</t>
  </si>
  <si>
    <t>Asignatura de ciencias básicas sin decisiones de gestión, proyecto o negocio.</t>
  </si>
  <si>
    <t>No aplica</t>
  </si>
  <si>
    <t>Inferencia académica</t>
  </si>
  <si>
    <t>Química General</t>
  </si>
  <si>
    <t>Ciencias básicas – química</t>
  </si>
  <si>
    <t>Fundamentos químicos y trabajo experimental</t>
  </si>
  <si>
    <t>Contenidos químicos propios del curso; prácticas de laboratorio</t>
  </si>
  <si>
    <t>Nula para simuladores de gestión</t>
  </si>
  <si>
    <t>Media</t>
  </si>
  <si>
    <t>Laboratorio virtual de química (línea de producto distinta a los simuladores de gestión)</t>
  </si>
  <si>
    <t>Sin relación con simuladores de gestión; oportunidad únicamente en laboratorio virtual.</t>
  </si>
  <si>
    <t>Introducción a la Ingeniería</t>
  </si>
  <si>
    <t>Ingeniería Aplicada</t>
  </si>
  <si>
    <t>Fundamentación profesional</t>
  </si>
  <si>
    <t>Comprensión del campo de acción del ingeniero; trabajo en equipo</t>
  </si>
  <si>
    <t>Perfil profesional, campos de la ingeniería, rol del ingeniero</t>
  </si>
  <si>
    <t>Media - contextualización profesional</t>
  </si>
  <si>
    <t>Cubierto parcialmente por el catálogo; el resto del curso se apoya en SimVenture, SimAgile o SimProject</t>
  </si>
  <si>
    <t>T-Shirt / Sunny Day (CompanyGame, nivel introductorio)</t>
  </si>
  <si>
    <t>Curso de contextualización sin decisiones de gestión, pero un simulador CompanyGame de nivel 1-2 funciona como primera experiencia de decisión empresarial en primer semestre. Está en los siete programas de la facultad, lo que lo convierte en la entrada de mayor volumen de estudiantes de toda la propuesta.</t>
  </si>
  <si>
    <t>Exploratorio</t>
  </si>
  <si>
    <t>Humanística I</t>
  </si>
  <si>
    <t>Complementaria</t>
  </si>
  <si>
    <t>Formación humanística</t>
  </si>
  <si>
    <t>Formación humanística, ética y ciudadana</t>
  </si>
  <si>
    <t>Contenidos humanísticos propios del curso</t>
  </si>
  <si>
    <t>Formación humanística sin contenidos de gestión que justifiquen un simulador.</t>
  </si>
  <si>
    <t>Humanística II</t>
  </si>
  <si>
    <t>Bienestar Institucional I</t>
  </si>
  <si>
    <t>Formación complementaria – bienestar</t>
  </si>
  <si>
    <t>Desarrollo personal y vida universitaria</t>
  </si>
  <si>
    <t>Actividades de bienestar institucional</t>
  </si>
  <si>
    <t>Espacio de bienestar institucional sin contenidos académicos de gestión.</t>
  </si>
  <si>
    <t>Bienestar Institucional II</t>
  </si>
  <si>
    <t>Comunicación Oral y Escrita I</t>
  </si>
  <si>
    <t>Inglés I</t>
  </si>
  <si>
    <t>Formación complementaria – idioma</t>
  </si>
  <si>
    <t>Competencia comunicativa en inglés</t>
  </si>
  <si>
    <t>Comprensión y producción oral y escrita en inglés</t>
  </si>
  <si>
    <t>Curso de idioma sin contenidos de gestión.</t>
  </si>
  <si>
    <t>Semestre 2</t>
  </si>
  <si>
    <t>Cálculo I</t>
  </si>
  <si>
    <t>Álgebra Lineal</t>
  </si>
  <si>
    <t>Física Mecánica</t>
  </si>
  <si>
    <t>Ciencias básicas – física</t>
  </si>
  <si>
    <t>Modelado físico de sistemas y experimentación</t>
  </si>
  <si>
    <t>Contenidos físicos propios del curso; trabajo de laboratorio</t>
  </si>
  <si>
    <t>Laboratorio virtual de física (línea de producto distinta a los simuladores de gestión)</t>
  </si>
  <si>
    <t>Sin relación con simuladores de gestión. La única oportunidad es de laboratorio virtual, que es una línea de producto distinta.</t>
  </si>
  <si>
    <t>Materiales en Ingeniería</t>
  </si>
  <si>
    <t>Ciencias Básicas de Ingeniería</t>
  </si>
  <si>
    <t>Electrónica, hardware e infraestructura</t>
  </si>
  <si>
    <t>Diseño y operación de sistemas electrónicos y de infraestructura</t>
  </si>
  <si>
    <t>Contenidos técnicos propios del curso</t>
  </si>
  <si>
    <t>Dominio técnico sin decisiones de gestión, proyecto o negocio.</t>
  </si>
  <si>
    <t>Humanística III</t>
  </si>
  <si>
    <t>Bienestar Institucional III</t>
  </si>
  <si>
    <t>Inglés II</t>
  </si>
  <si>
    <t>Semestre 3</t>
  </si>
  <si>
    <t>Cálculo II</t>
  </si>
  <si>
    <t>Probabilidad y Estadística</t>
  </si>
  <si>
    <t>Física de Electromagnetismo</t>
  </si>
  <si>
    <t>Ingeniería de Métodos y Tiempos</t>
  </si>
  <si>
    <t>Producción y operaciones</t>
  </si>
  <si>
    <t>Análisis y mejora del trabajo; medición de la productividad</t>
  </si>
  <si>
    <t>Estudio de métodos, estudio de tiempos, balanceo de línea, estandarización</t>
  </si>
  <si>
    <t>Media - productividad operativa</t>
  </si>
  <si>
    <t>DP-01: simulador de estudio del trabajo, tiempos y productividad de línea</t>
  </si>
  <si>
    <t>Desarrollo propio (DP-01)</t>
  </si>
  <si>
    <t>Contenido operativo específico no cubierto por el portafolio ni por el catálogo CompanyGame.</t>
  </si>
  <si>
    <t>No aplica (hoy)</t>
  </si>
  <si>
    <t>Humanística IV</t>
  </si>
  <si>
    <t>Bienestar Institucional IV</t>
  </si>
  <si>
    <t>Inglés III</t>
  </si>
  <si>
    <t>Semestre 4</t>
  </si>
  <si>
    <t>Electiva en Ciencias</t>
  </si>
  <si>
    <t>Espacio electivo sin contenido definido</t>
  </si>
  <si>
    <t>No disponible en la fuente</t>
  </si>
  <si>
    <t>No determinable con la información disponible</t>
  </si>
  <si>
    <t>No evaluable</t>
  </si>
  <si>
    <t>Por definir según el contenido del espacio</t>
  </si>
  <si>
    <t>Depende del contenido que se defina para el espacio electivo</t>
  </si>
  <si>
    <t>Depende del contenido que se defina</t>
  </si>
  <si>
    <t>La malla no define contenido. Comercialmente es el espacio de inserción más rápido: permite proponer un curso basado en simulador sin modificar el plan de estudios ni pasar por comité curricular.</t>
  </si>
  <si>
    <t>Principal (si se diseña la electiva)</t>
  </si>
  <si>
    <t>Inferencia Estadística</t>
  </si>
  <si>
    <t>Lógica y Pensamiento Algorítmico</t>
  </si>
  <si>
    <t>Estrategia y dirección</t>
  </si>
  <si>
    <t>Análisis del entorno, formulación e implementación de estrategia; comprensión de la organización</t>
  </si>
  <si>
    <t>Diagnóstico estratégico, estructura organizacional, direccionamiento y control</t>
  </si>
  <si>
    <t>Muy alta - dirección de empresas</t>
  </si>
  <si>
    <t>Business21 / Businessglobal</t>
  </si>
  <si>
    <t>Cubierto por el catálogo CompanyGame</t>
  </si>
  <si>
    <t>Es la asignatura de estrategia del programa: el estudiante debe formular una estrategia y sostenerla frente a competidores durante varios períodos, que es exactamente lo que hace el simulador. Con 2 créditos conviene proponer un simulador de nivel intermedio (Business21) antes que uno de nivel 5.</t>
  </si>
  <si>
    <t>Principal</t>
  </si>
  <si>
    <t>Gestión financiera</t>
  </si>
  <si>
    <t>Estructuración y análisis de costos; decisiones basadas en márgenes</t>
  </si>
  <si>
    <t>Sistemas de costeo, costos para la decisión, punto de equilibrio</t>
  </si>
  <si>
    <t>Alta - los costos son la base de la decisión empresarial</t>
  </si>
  <si>
    <t>ContaTrainer / Kapital</t>
  </si>
  <si>
    <t>Cada decisión del simulador modifica la estructura de costos y el punto de equilibrio, de modo que el costeo se vuelve consecuencia visible de la decisión y no un ejercicio de hoja de cálculo.</t>
  </si>
  <si>
    <t>Complementario</t>
  </si>
  <si>
    <t>Humanística V</t>
  </si>
  <si>
    <t>Comunicación Oral y Escrita II</t>
  </si>
  <si>
    <t>Inglés IV</t>
  </si>
  <si>
    <t>Semestre 5</t>
  </si>
  <si>
    <t>Investigación de Operaciones</t>
  </si>
  <si>
    <t>Métodos cuantitativos</t>
  </si>
  <si>
    <t>Modelado y solución de problemas de optimización y de redes</t>
  </si>
  <si>
    <t>Programación lineal, redes, PERT/CPM, colas, inventarios</t>
  </si>
  <si>
    <t>Alta - la unidad de PERT/CPM es planeación de proyectos</t>
  </si>
  <si>
    <t>DP-01: simulador de asignación de recursos escasos y decisiones con restricciones</t>
  </si>
  <si>
    <t>SimProject (uso complementario en la unidad de PERT/CPM)</t>
  </si>
  <si>
    <t>El curso enseña la técnica, no la gestión, pero su unidad de redes de proyecto coincide con el motor de SimProject. Para el resto del temario la oportunidad es un simulador propio de asignación de recursos escasos.</t>
  </si>
  <si>
    <t>Analítica y Minería de Datos</t>
  </si>
  <si>
    <t>Datos y analítica</t>
  </si>
  <si>
    <t>Aprovechamiento de datos para la decisión organizacional</t>
  </si>
  <si>
    <t>Preparación de datos, modelos analíticos, visualización, gobierno de datos</t>
  </si>
  <si>
    <t>Media - los datos como insumo de la decisión de gestión</t>
  </si>
  <si>
    <t>DP-02: simulador de decisión basada en datos dentro de la transformación digital</t>
  </si>
  <si>
    <t>SimVenture o TRANSFORMA (CompanyGame) como contexto de decisión</t>
  </si>
  <si>
    <t>El curso enseña la técnica analítica; el simulador aporta el contexto donde esos análisis se convierten en decisiones con consecuencias. Encaje parcial y de uso complementario.</t>
  </si>
  <si>
    <t>Gestión de Operaciones</t>
  </si>
  <si>
    <t>Planeación, programación y control de las operaciones</t>
  </si>
  <si>
    <t>Pronósticos, capacidad, inventarios, programación de la producción, indicadores</t>
  </si>
  <si>
    <t>Alta - operaciones como decisión de gestión</t>
  </si>
  <si>
    <t>Businessglobal</t>
  </si>
  <si>
    <t>N5</t>
  </si>
  <si>
    <t>DP-01: simulador de planeación y control de operaciones, capacidad e inventarios</t>
  </si>
  <si>
    <t>Desarrollo propio (DP-01) + SimVenture o Businessglobal complementario</t>
  </si>
  <si>
    <t>SimVenture y Businessglobal incluyen decisiones de producción de forma agregada, muy por debajo del nivel del curso. La oportunidad principal es un simulador propio de planeación y control de operaciones, con alta transversalidad hacia Investigación de Operaciones, Cadena de Abastecimiento y Simulación de Procesos.</t>
  </si>
  <si>
    <t>Mercadeo y comercial</t>
  </si>
  <si>
    <t>Análisis de mercado y diseño de la estrategia comercial</t>
  </si>
  <si>
    <t>Segmentación, investigación de mercados, mezcla de mercadeo, precio y canales</t>
  </si>
  <si>
    <t>Muy alta - decisión comercial</t>
  </si>
  <si>
    <t>MarketGame / SalesManager</t>
  </si>
  <si>
    <t>El resultado comercial se mide en ventas y participación de mercado frente a competidores del aula, no en un plan de mercadeo escrito. La familia Marketing y ventas de CompanyGame ofrece cuatro niveles para ajustar la propuesta al presupuesto del programa.</t>
  </si>
  <si>
    <t>Evaluación financiera</t>
  </si>
  <si>
    <t>Evaluación económica de alternativas de inversión</t>
  </si>
  <si>
    <t>Valor del dinero en el tiempo, VPN, TIR, comparación de alternativas</t>
  </si>
  <si>
    <t>Alta - decisiones de inversión</t>
  </si>
  <si>
    <t>Kapital</t>
  </si>
  <si>
    <t>El VPN y la TIR dejan de ser cálculo de escritorio y pasan a ser resultado de decisiones tomadas con recursos limitados. SimProject aporta la evaluación económica dentro de un proyecto con restricciones de tiempo y costo.</t>
  </si>
  <si>
    <t>Humanística VI</t>
  </si>
  <si>
    <t>Inglés V</t>
  </si>
  <si>
    <t>Semestre 6</t>
  </si>
  <si>
    <t>Innovación y desarrollo de producto</t>
  </si>
  <si>
    <t>Desarrollo de nuevos productos desde la necesidad del cliente hasta la viabilidad</t>
  </si>
  <si>
    <t>Voz del cliente, prototipado, iteración, ciclo de vida del producto, viabilidad comercial</t>
  </si>
  <si>
    <t>Muy alta - innovación, producto y mercado</t>
  </si>
  <si>
    <t>InnovaTech</t>
  </si>
  <si>
    <t>N3-4</t>
  </si>
  <si>
    <t>El desarrollo de producto moderno es iterativo y basado en validación, que es el modelo de SimAgile; InnovaTech es la alternativa CompanyGame más ajustada y SimVenture agrega la prueba de viabilidad comercial. Doble encaje poco frecuente, muy útil para proponer un paquete.</t>
  </si>
  <si>
    <t>Control Estadístico de Procesos</t>
  </si>
  <si>
    <t>Calidad y mejoramiento</t>
  </si>
  <si>
    <t>Control y mejora de procesos mediante herramientas estadísticas</t>
  </si>
  <si>
    <t>Cartas de control, capacidad de proceso, muestreo, costo de la no calidad</t>
  </si>
  <si>
    <t>Media - calidad como variable de gestión operativa</t>
  </si>
  <si>
    <t>DP-06: simulador de control estadístico de procesos con costo de la no calidad</t>
  </si>
  <si>
    <t>Desarrollo propio (DP-06)</t>
  </si>
  <si>
    <t>Ningún simulador de gestión, ni propio ni del catálogo, modela variabilidad de proceso. Es un desarrollo acotado y de complejidad media.</t>
  </si>
  <si>
    <t>Gestión Cadena Abastecimiento</t>
  </si>
  <si>
    <t>Logística y cadena de suministro</t>
  </si>
  <si>
    <t>Diseño y gestión de la cadena de abastecimiento</t>
  </si>
  <si>
    <t>Compras, inventarios, almacenamiento, transporte, nivel de servicio</t>
  </si>
  <si>
    <t>Alta - decisiones de abastecimiento con impacto financiero</t>
  </si>
  <si>
    <t>Desarrollo propio (DP-04)</t>
  </si>
  <si>
    <t>El curso exige el efecto látigo, el trade-off nivel de servicio contra costo y la coordinación entre eslabones; ni SimVenture ni Businessglobal modelan la cadena, sólo compras e inventarios dentro de una empresa.</t>
  </si>
  <si>
    <t>Gestión de proyectos</t>
  </si>
  <si>
    <t>Dirección de proyectos: alcance, tiempo, costo, riesgo y seguimiento</t>
  </si>
  <si>
    <t>Ciclo de vida del proyecto, EDT, cronograma, presupuesto, riesgos, control y cierre</t>
  </si>
  <si>
    <t>Muy alta - dirección de proyectos</t>
  </si>
  <si>
    <t>Acelera</t>
  </si>
  <si>
    <t>El catálogo CompanyGame no cubre dirección de proyectos; SimProject es la recomendación principal</t>
  </si>
  <si>
    <t>El temario de dirección de proyectos coincide punto por punto con las decisiones que exige SimProject: alcance, cronograma, recursos, costos, riesgos y control. El catálogo CompanyGame no tiene un simulador específico de dirección de proyectos, por lo que aquí SimProject no tiene sustituto interno.</t>
  </si>
  <si>
    <t>Ingeniería del Factor Humano</t>
  </si>
  <si>
    <t>Factor humano y ergonomía</t>
  </si>
  <si>
    <t>Diseño del trabajo considerando al ser humano; gestión de personas</t>
  </si>
  <si>
    <t>Ergonomía, diseño del puesto de trabajo, desempeño humano, equipos de trabajo</t>
  </si>
  <si>
    <t>Media - gestión de personas y desempeño</t>
  </si>
  <si>
    <t>Organization &amp; People Management</t>
  </si>
  <si>
    <t>Organization &amp; People Management (CompanyGame) o SimAgile</t>
  </si>
  <si>
    <t>La parte de dirección de personas y desempeño de equipos sí está cubierta por Organization &amp; People Management y por la dinámica de equipo de SimAgile; la parte ergonómica y de diseño del puesto no lo está.</t>
  </si>
  <si>
    <t>Localización y Diseño de Plantas</t>
  </si>
  <si>
    <t>Diseño de la localización, distribución y capacidad de instalaciones</t>
  </si>
  <si>
    <t>Localización, distribución en planta, manejo de materiales, dimensionamiento</t>
  </si>
  <si>
    <t>Media - inversión y capacidad</t>
  </si>
  <si>
    <t>DP-09: simulador de distribución en planta y flujo de materiales</t>
  </si>
  <si>
    <t>Desarrollo propio (DP-09)</t>
  </si>
  <si>
    <t>El rediseño de una instalación es un proyecto, lo que da entrada parcial a SimProject, pero el contenido técnico de layout no está cubierto por ningún simulador disponible.</t>
  </si>
  <si>
    <t>Inglés VI</t>
  </si>
  <si>
    <t>Semestre 7</t>
  </si>
  <si>
    <t>Simulación de Procesos Discretos</t>
  </si>
  <si>
    <t>Modelado y simulación</t>
  </si>
  <si>
    <t>Modelado, simulación y experimentación sobre sistemas productivos</t>
  </si>
  <si>
    <t>Simulación de eventos discretos, variables aleatorias, validación, experimentación</t>
  </si>
  <si>
    <t>Alta - cultura de simulación ya instalada</t>
  </si>
  <si>
    <t>DP-01: simulador de operaciones que sirva de caso a modelar en el curso</t>
  </si>
  <si>
    <t>Desarrollo propio (DP-01), con Businessglobal como caso de negocio</t>
  </si>
  <si>
    <t>Es la asignatura donde la simulación ya está aceptada metodológicamente, lo que la convierte en la mejor puerta de entrada académica al programa aunque el encaje directo con el portafolio sea parcial. El docente de este curso es el aliado natural para introducir los simuladores.</t>
  </si>
  <si>
    <t>Gestión de Calidad</t>
  </si>
  <si>
    <t>Calidad y sistemas de gestión</t>
  </si>
  <si>
    <t>Diseño y gestión de sistemas de calidad; mejora continua</t>
  </si>
  <si>
    <t>Gestión por procesos, normas ISO, auditoría, herramientas de mejora</t>
  </si>
  <si>
    <t>Alta - gestión organizacional por procesos</t>
  </si>
  <si>
    <t>ESGManagement</t>
  </si>
  <si>
    <t>DP-03: simulador de implementación y auditoría de un sistema de gestión de calidad</t>
  </si>
  <si>
    <t>Desarrollo propio (DP-03) + SimProject complementario</t>
  </si>
  <si>
    <t>La implementación de un sistema de gestión es un proyecto con alcance, plazos y recursos, lo que da entrada parcial a SimProject; el contenido normativo y la auditoría, que son el núcleo del curso, no están cubiertos por ningún simulador del portafolio.</t>
  </si>
  <si>
    <t>Práctica Profesional</t>
  </si>
  <si>
    <t>Integración profesional</t>
  </si>
  <si>
    <t>Aplicación de las competencias del programa en un entorno real</t>
  </si>
  <si>
    <t>Diagnóstico, intervención en la organización, informe de práctica</t>
  </si>
  <si>
    <t>Alta - contexto empresarial real</t>
  </si>
  <si>
    <t>SimVenture o Businessglobal (CompanyGame) como preparación previa</t>
  </si>
  <si>
    <t>El simulador no reemplaza la práctica, pero funciona como entrenamiento previo a la inmersión empresarial. Es un uso de baja resistencia y alta aceptación docente, útil para abrir la conversación.</t>
  </si>
  <si>
    <t>Electiva de Profundización I</t>
  </si>
  <si>
    <t>Diseño en Ingeniería Industrial I</t>
  </si>
  <si>
    <t>Integración profesional – proyecto de diseño</t>
  </si>
  <si>
    <t>Integración de las competencias del programa en un proyecto de diseño</t>
  </si>
  <si>
    <t>Identificación del problema, diseño de la solución, evaluación y presentación de resultados</t>
  </si>
  <si>
    <t>Alta - integra gestión, proyecto y técnica</t>
  </si>
  <si>
    <t>Curso de proyecto donde el estudiante debe planear, ejecutar y controlar. SimProject entrega un marco de gestión común a todos los proyectos del curso, lo que además le da al docente una forma homogénea de evaluar proyectos heterogéneos.</t>
  </si>
  <si>
    <t>Inglés VII</t>
  </si>
  <si>
    <t>Semestre 8</t>
  </si>
  <si>
    <t>Electiva Complementaria I</t>
  </si>
  <si>
    <t>Electiva Complementaria II</t>
  </si>
  <si>
    <t>Electiva Complementaria III</t>
  </si>
  <si>
    <t>Electiva de Profundización II</t>
  </si>
  <si>
    <t>Diseño en Ingeniería Industrial II</t>
  </si>
  <si>
    <t>Electiva Humanística</t>
  </si>
  <si>
    <t>Inglés VIII</t>
  </si>
  <si>
    <t>Nota: Explícito en la lámina → programa, semestre, asignatura, créditos y componente de formación. Inferencia académica → área temática, competencias, temáticas, relación con la gestión y todos los niveles de compatibilidad. Grado de ajuste CompanyGame: Encaje perfecto = el simulador cubre el objeto central del curso; Encaje parcial = cubre una unidad o el contexto; No encaja = ningún simulador del catálogo aplica.</t>
  </si>
  <si>
    <t>Matriz de relacionamiento – Ingeniería de Sistemas</t>
  </si>
  <si>
    <t>Universidad de San Buenaventura – Facultad de Ingeniería · SNIES 1349 · 9 semestres · 64 espacios académicos · 160 créditos</t>
  </si>
  <si>
    <t>Ingeniería de Sistemas</t>
  </si>
  <si>
    <t>Precálculo</t>
  </si>
  <si>
    <t>Matemáticas Discretas I</t>
  </si>
  <si>
    <t>Fundamentos de Programación</t>
  </si>
  <si>
    <t>Desarrollo de software – técnica</t>
  </si>
  <si>
    <t>Programación y resolución de problemas mediante código</t>
  </si>
  <si>
    <t>Contenidos técnicos de programación propios del curso</t>
  </si>
  <si>
    <t>Competencia técnica individual; no hay decisiones de gestión ni dinámica de equipo formalizada. Forzar un simulador aquí restaría credibilidad a la propuesta.</t>
  </si>
  <si>
    <t>Expresión Oral y Escrita</t>
  </si>
  <si>
    <t>Identidad Institucional y Franciscana</t>
  </si>
  <si>
    <t>Formación institucional</t>
  </si>
  <si>
    <t>Desarrollo personal e identidad institucional</t>
  </si>
  <si>
    <t>Proyecto de vida, identidad y valores institucionales franciscanos</t>
  </si>
  <si>
    <t>Espacio de formación institucional sin contenidos de gestión.</t>
  </si>
  <si>
    <t>Proyecto de Vida</t>
  </si>
  <si>
    <t>Cálculo Diferencial</t>
  </si>
  <si>
    <t>Matemáticas Discretas II</t>
  </si>
  <si>
    <t>Programación Orientada a Objetos</t>
  </si>
  <si>
    <t>Introducción a la Ingeniería de Software</t>
  </si>
  <si>
    <t>Ingeniería de software</t>
  </si>
  <si>
    <t>Ciclo de vida del software, requisitos, diseño y modelos de proceso</t>
  </si>
  <si>
    <t>Modelos de proceso (predictivos y ágiles), requisitos, diseño, modelado</t>
  </si>
  <si>
    <t>Alta - proceso, equipo y producto de software</t>
  </si>
  <si>
    <t>Es donde se enseñan los marcos ágiles: SimAgile permite que el estudiante viva un ciclo completo de trabajo en equipo en lugar de memorizar roles y ceremonias. Encaje directo con una unidad completa del curso.</t>
  </si>
  <si>
    <t>Laboratorio de Software I</t>
  </si>
  <si>
    <t>Ingeniería de software – práctica</t>
  </si>
  <si>
    <t>Aplicación práctica de la ingeniería de software en equipo</t>
  </si>
  <si>
    <t>Trabajo en equipo sobre un producto de software, entregas y control de versiones</t>
  </si>
  <si>
    <t>Media - trabajo en equipo sobre un producto</t>
  </si>
  <si>
    <t>SimAgile (uso complementario)</t>
  </si>
  <si>
    <t>Los laboratorios organizan el trabajo por entregas, lo que da entrada a SimAgile como marco de gestión del equipo, aunque el contenido evaluado sea técnico. Son cursos de 1 crédito: conviene incluirlos en un acuerdo de programa, no venderlos solos.</t>
  </si>
  <si>
    <t>Franciscanismo y Ecología</t>
  </si>
  <si>
    <t>Sostenibilidad y medio ambiente</t>
  </si>
  <si>
    <t>Comprensión del impacto ambiental de la actividad humana y productiva</t>
  </si>
  <si>
    <t>Ecología, sostenibilidad, impacto ambiental, responsabilidad con el entorno</t>
  </si>
  <si>
    <t>Media - sostenibilidad como criterio de decisión</t>
  </si>
  <si>
    <t>ESGProject / ESGManagement (CompanyGame)</t>
  </si>
  <si>
    <t>La familia ESG Management del catálogo permite convertir un contenido hoy discursivo en una experiencia de decisión donde el estudiante enfrenta el trade-off entre resultado económico e impacto ambiental. Franciscanismo y Ecología, además, es un sello institucional presente en varios programas.</t>
  </si>
  <si>
    <t>Constitución y Democracia</t>
  </si>
  <si>
    <t>Cálculo Integral</t>
  </si>
  <si>
    <t>Estructuras de Datos</t>
  </si>
  <si>
    <t>Análisis y Diseño de Software</t>
  </si>
  <si>
    <t>Laboratorio de Software II</t>
  </si>
  <si>
    <t>Cálculo Multivariado</t>
  </si>
  <si>
    <t>Técnicas Avanzadas de Programación</t>
  </si>
  <si>
    <t>Base de Datos I</t>
  </si>
  <si>
    <t>Laboratorio de Software III</t>
  </si>
  <si>
    <t>Electiva de Programación I</t>
  </si>
  <si>
    <t>Métodos Numéricos</t>
  </si>
  <si>
    <t>Análisis de Algoritmos</t>
  </si>
  <si>
    <t>Base de Datos II</t>
  </si>
  <si>
    <t>Ingeniería de Requisitos</t>
  </si>
  <si>
    <t>Electiva Libre Humanística I</t>
  </si>
  <si>
    <t>Desarrollo de Aplicaciones Web</t>
  </si>
  <si>
    <t>Desarrollo de Sistemas Computacionales Basados en Servicios</t>
  </si>
  <si>
    <t>Calidad y Pruebas de Software</t>
  </si>
  <si>
    <t>Ingeniería de software – calidad</t>
  </si>
  <si>
    <t>Aseguramiento de la calidad del software y gestión del proceso de pruebas</t>
  </si>
  <si>
    <t>Estrategias de prueba, métricas de calidad, gestión de defectos, mejora del proceso</t>
  </si>
  <si>
    <t>Media - calidad y proceso dentro del equipo de desarrollo</t>
  </si>
  <si>
    <t>Simulador propio de gestión de la calidad del software (deuda técnica y costo del defecto)</t>
  </si>
  <si>
    <t>La tensión entre alcance, calidad y tiempo que el curso discute es justamente la que SimAgile pone a decidir, aunque el contenido técnico de pruebas no está cubierto.</t>
  </si>
  <si>
    <t>Sistemas Operativos y Redes</t>
  </si>
  <si>
    <t>Diseño Detallado de Software</t>
  </si>
  <si>
    <t>Diseño de Proyectos de Software</t>
  </si>
  <si>
    <t>Gestión de proyectos de software</t>
  </si>
  <si>
    <t>Gestión del proyecto y del equipo de desarrollo</t>
  </si>
  <si>
    <t>Planeación y estimación, métricas, riesgos, calidad, gestión de equipos y entregas</t>
  </si>
  <si>
    <t>Muy alta - gestión de proyectos y equipos de tecnología</t>
  </si>
  <si>
    <t>Doble encaje en un mismo curso: SimAgile aporta la dinámica de equipo y la entrega incremental, SimProject el control de alcance, tiempo y costo. El estudiante experimenta la tensión entre alcance, calidad y tiempo en lugar de estudiarla en teoría.</t>
  </si>
  <si>
    <t>Construcción de Aplicaciones Móviles</t>
  </si>
  <si>
    <t>Electiva de Ingeniería de Software I</t>
  </si>
  <si>
    <t>Arquitectura de Software</t>
  </si>
  <si>
    <t>Emprendimiento y creación de empresa</t>
  </si>
  <si>
    <t>Identificación de oportunidades, diseño del modelo de negocio y validación</t>
  </si>
  <si>
    <t>Modelo de negocio, propuesta de valor, validación de mercado, plan financiero inicial</t>
  </si>
  <si>
    <t>Muy alta - creación y gestión de empresa</t>
  </si>
  <si>
    <t>FitnessGym / Luxe Atelier / Business Chef</t>
  </si>
  <si>
    <t>Es la asignatura de encaje más natural de todo el portafolio: emprender es literalmente lo que el simulador hace hacer al estudiante. Además es el único espacio de emprendimiento de los siete programas de la facultad, lo que la convierte en la puerta de entrada de la familia Emprendimiento de CompanyGame.</t>
  </si>
  <si>
    <t>Proyecto de Diseño de Ingeniería de Software I</t>
  </si>
  <si>
    <t>Electiva Libre Humanística II</t>
  </si>
  <si>
    <t>Desarrollo de Aplicaciones Empresariales</t>
  </si>
  <si>
    <t>Desarrollo de software – contexto empresarial</t>
  </si>
  <si>
    <t>Desarrollo de soluciones para procesos de negocio</t>
  </si>
  <si>
    <t>Aplicaciones empresariales, integración con procesos, requisitos de negocio</t>
  </si>
  <si>
    <t>Alta - el software se diseña sobre procesos de negocio</t>
  </si>
  <si>
    <t>SimVenture o Business21 (CompanyGame) como contexto de negocio</t>
  </si>
  <si>
    <t>Para construir una aplicación empresarial el estudiante necesita entender el negocio que la aplicación soporta; un simulador de empresa entrega esa comprensión, que la formación técnica no cubre.</t>
  </si>
  <si>
    <t>Electiva de Ingeniería de Software II</t>
  </si>
  <si>
    <t>Gestión y Análisis de Datos</t>
  </si>
  <si>
    <t>Seguridad Informática</t>
  </si>
  <si>
    <t>Seguridad de la información</t>
  </si>
  <si>
    <t>Gestión de la seguridad de la información y del riesgo tecnológico</t>
  </si>
  <si>
    <t>Controles, análisis de riesgos, gestión de incidentes, normatividad</t>
  </si>
  <si>
    <t>Alta - gestión del riesgo tecnológico</t>
  </si>
  <si>
    <t>TRANSFORMA</t>
  </si>
  <si>
    <t>DP-05: simulador de gestión de incidentes de seguridad de la información</t>
  </si>
  <si>
    <t>Desarrollo propio (DP-05)</t>
  </si>
  <si>
    <t>La implementación de un SGSI es un proyecto, lo que da entrada parcial a SimProject, pero la oportunidad fuerte es un simulador propio de decisión ante incidentes de seguridad: tema de alta demanda institucional y prácticamente sin oferta en español.</t>
  </si>
  <si>
    <t>Electiva Libre Humanística III</t>
  </si>
  <si>
    <t>Semestre 9</t>
  </si>
  <si>
    <t>Electiva Libre de Ingeniería</t>
  </si>
  <si>
    <t>Electiva Cátedra Complementaria</t>
  </si>
  <si>
    <t>Formulación y evaluación de proyectos</t>
  </si>
  <si>
    <t>Evaluación de la viabilidad técnica, económica y financiera de un proyecto</t>
  </si>
  <si>
    <t>Estudio de mercado y técnico, flujo de caja del proyecto, indicadores de viabilidad</t>
  </si>
  <si>
    <t>Muy alta - proyecto y negocio</t>
  </si>
  <si>
    <t>FitnessGym / Business Chef</t>
  </si>
  <si>
    <t>Encaje alto simultáneo en dos simuladores: SimVenture cubre la viabilidad comercial y financiera del proyecto, SimProject la planeación y el control de su ejecución. Permite proponer un paquete de dos productos en un solo curso.</t>
  </si>
  <si>
    <t>Ética</t>
  </si>
  <si>
    <t>Formación humanística – ética</t>
  </si>
  <si>
    <t>Razonamiento ético aplicado al ejercicio profesional</t>
  </si>
  <si>
    <t>Teorías éticas, ética profesional, dilemas de la práctica</t>
  </si>
  <si>
    <t>Baja - dilemas éticos en la decisión profesional</t>
  </si>
  <si>
    <t>ESGProject</t>
  </si>
  <si>
    <t>DP-07: simulador de dilemas éticos en la decisión profesional</t>
  </si>
  <si>
    <t>ESGProject (CompanyGame) o desarrollo propio (DP-07)</t>
  </si>
  <si>
    <t>Los simuladores de gestión no modelan consecuencias éticas de la decisión; ESGProject cubre parcialmente la dimensión de sostenibilidad y responsabilidad. El dilema ético profesional propiamente dicho es una oportunidad de desarrollo propio transversal.</t>
  </si>
  <si>
    <t>Matriz de relacionamiento – Ingeniería Multimedia</t>
  </si>
  <si>
    <t>Universidad de San Buenaventura – Facultad de Ingeniería · 8 semestres · 58 espacios académicos · 142 créditos</t>
  </si>
  <si>
    <t>Ingeniería Multimedia</t>
  </si>
  <si>
    <t>Matemáticas Discretas</t>
  </si>
  <si>
    <t>Taller Multimedia</t>
  </si>
  <si>
    <t>Producción de medios digitales</t>
  </si>
  <si>
    <t>Producción y postproducción de contenidos digitales</t>
  </si>
  <si>
    <t>Contenidos técnicos y creativos propios del curso</t>
  </si>
  <si>
    <t>DP-11: simulador de gestión de una producción audiovisual (presupuesto, cronograma y equipo creativo)</t>
  </si>
  <si>
    <t>Producción creativa sin decisiones de gestión modeladas por el portafolio. Un simulador propio de gestión de producción audiovisual sería la única vía.</t>
  </si>
  <si>
    <t>Diseño de Medios Digitales</t>
  </si>
  <si>
    <t>Diseño de experiencia e interacción</t>
  </si>
  <si>
    <t>Diseño centrado en el usuario y validación iterativa</t>
  </si>
  <si>
    <t>Investigación de usuario, prototipado, pruebas de usabilidad, iteración</t>
  </si>
  <si>
    <t>Media - desarrollo iterativo de producto digital</t>
  </si>
  <si>
    <t>El diseño de experiencias es iterativo y por equipos, lo que da entrada parcial a SimAgile; el contenido creativo y técnico del curso no está cubierto.</t>
  </si>
  <si>
    <t>Guion para Medios Digitales</t>
  </si>
  <si>
    <t>Matemáticas Especiales</t>
  </si>
  <si>
    <t>Computación Gráfica</t>
  </si>
  <si>
    <t>Dibujo para Multimedia</t>
  </si>
  <si>
    <t>Taller de Video y Fotografía</t>
  </si>
  <si>
    <t>Base de Datos</t>
  </si>
  <si>
    <t>Taller de Animación 2D</t>
  </si>
  <si>
    <t>Fundamentos de Redes</t>
  </si>
  <si>
    <t>Audio Digital</t>
  </si>
  <si>
    <t>Electiva en Ingeniería I</t>
  </si>
  <si>
    <t>Humanística VII</t>
  </si>
  <si>
    <t>Desarrollo Web</t>
  </si>
  <si>
    <t>Modelado 3D</t>
  </si>
  <si>
    <t>Circuitos Digitales</t>
  </si>
  <si>
    <t>Procesamiento Digital de Señales</t>
  </si>
  <si>
    <t>Electiva en Ingeniería II</t>
  </si>
  <si>
    <t>Gestión en Proyectos</t>
  </si>
  <si>
    <t>Animación e Integración 3D</t>
  </si>
  <si>
    <t>Electrónica para Multimedia</t>
  </si>
  <si>
    <t>Procesamiento de Imágenes</t>
  </si>
  <si>
    <t>Edición y Post-producción de Video</t>
  </si>
  <si>
    <t>Diseño de Experiencias Interactivas</t>
  </si>
  <si>
    <t>Electiva en Ingeniería III</t>
  </si>
  <si>
    <t>Legislación para Contenidos Digitales</t>
  </si>
  <si>
    <t>Marco legal de la industria digital</t>
  </si>
  <si>
    <t>Comprensión del marco legal de la producción de contenidos</t>
  </si>
  <si>
    <t>Propiedad intelectual, derechos de autor, contratos, normatividad digital</t>
  </si>
  <si>
    <t>Media - marco legal del negocio digital</t>
  </si>
  <si>
    <t>DP-11: componente legal dentro de un simulador de gestión de producción audiovisual</t>
  </si>
  <si>
    <t>Contenido jurídico sin decisiones de gestión modeladas por el portafolio.</t>
  </si>
  <si>
    <t>Matriz de relacionamiento – Ingeniería Agroindustrial</t>
  </si>
  <si>
    <t>Universidad de San Buenaventura – Facultad de Ingeniería · 8 semestres · 58 espacios académicos · 144 créditos</t>
  </si>
  <si>
    <t>Ingeniería Agroindustrial</t>
  </si>
  <si>
    <t>Matemáticas Fundamentales</t>
  </si>
  <si>
    <t>Química</t>
  </si>
  <si>
    <t>Curso Formativo de Bienestar Institucional I</t>
  </si>
  <si>
    <t>Curso Formativo de Bienestar Institucional II</t>
  </si>
  <si>
    <t>Bioquímica</t>
  </si>
  <si>
    <t>Biología Celular</t>
  </si>
  <si>
    <t>Ciencias básicas – biología y bioprocesos</t>
  </si>
  <si>
    <t>Fundamentos biológicos aplicados a la ingeniería</t>
  </si>
  <si>
    <t>Contenidos biológicos y de bioprocesos propios del curso</t>
  </si>
  <si>
    <t>Laboratorio o simulador virtual de bioprocesos (línea de producto distinta)</t>
  </si>
  <si>
    <t>Contenido científico-técnico sin decisiones de gestión. La oportunidad sería un laboratorio o simulador de bioprocesos, línea distinta a los simuladores de negocio.</t>
  </si>
  <si>
    <t>Biología Vegetal y Animal</t>
  </si>
  <si>
    <t>Termodinámica y Operaciones en Ingeniería</t>
  </si>
  <si>
    <t>Ecuaciones Diferenciales</t>
  </si>
  <si>
    <t>Balance de Materia y Energía</t>
  </si>
  <si>
    <t>Microbiología</t>
  </si>
  <si>
    <t>GestiónDigital de Sistemas Agropecuarios</t>
  </si>
  <si>
    <t>Transformación digital del agro</t>
  </si>
  <si>
    <t>Incorporación de tecnología digital a la operación agropecuaria</t>
  </si>
  <si>
    <t>Digitalización de procesos agropecuarios, datos, trazabilidad, agricultura de precisión</t>
  </si>
  <si>
    <t>Alta - adopción tecnológica en la organización</t>
  </si>
  <si>
    <t>DP-13: simulador de digitalización y gestión de una operación agropecuaria</t>
  </si>
  <si>
    <t>TRANSFORMA (CompanyGame) o desarrollo propio (DP-02)</t>
  </si>
  <si>
    <t>El curso trata la adopción de tecnología en una operación productiva, que es el terreno de la familia Business Transformation. El contexto agropecuario específico no está cubierto y es candidato a desarrollo propio.</t>
  </si>
  <si>
    <t>Fenómenos de Transporte I</t>
  </si>
  <si>
    <t>Química de las Materias Primas</t>
  </si>
  <si>
    <t>Diseño y Modelación de Bioprocesos</t>
  </si>
  <si>
    <t>Bioprocesos</t>
  </si>
  <si>
    <t>Diseño, modelado y operación de bioprocesos</t>
  </si>
  <si>
    <t>Cinética, escalamiento, modelado y control de bioprocesos</t>
  </si>
  <si>
    <t>Media - decisiones de proceso con impacto en costo y rendimiento</t>
  </si>
  <si>
    <t>DP-01: simulador de operación de una planta de bioprocesos</t>
  </si>
  <si>
    <t>Dominio técnico-productivo sin cobertura del portafolio; candidato a simulador propio de operación de bioprocesos, reutilizando el motor de un simulador de operaciones.</t>
  </si>
  <si>
    <t>Ciencia y Tecnología Poscosecha</t>
  </si>
  <si>
    <t>Procesos agroindustriales</t>
  </si>
  <si>
    <t>Diseño y operación de procesos de transformación agroindustrial</t>
  </si>
  <si>
    <t>Operaciones de transformación, conservación, calidad e inocuidad del producto</t>
  </si>
  <si>
    <t>Media - decisiones de proceso con impacto en costo y calidad</t>
  </si>
  <si>
    <t>DP-01: simulador de operaciones adaptado a una planta agroindustrial</t>
  </si>
  <si>
    <t>Desarrollo propio (DP-01 adaptado)</t>
  </si>
  <si>
    <t>Contenido técnico-productivo no cubierto por el portafolio ni por el catálogo; es el destino natural de un simulador propio de operaciones adaptado al sector agroindustrial.</t>
  </si>
  <si>
    <t>Diseño de Experimentos</t>
  </si>
  <si>
    <t>Fenómenos de Transporte II</t>
  </si>
  <si>
    <t>Diseño en Ingeniería Agroindustrial I</t>
  </si>
  <si>
    <t>Procesos Agroindustriales I</t>
  </si>
  <si>
    <t>Diseño en Ingeniería Agroindustrial II</t>
  </si>
  <si>
    <t>Procesos Agroindustriales II</t>
  </si>
  <si>
    <t>Curso Formativo de Bienestar Institucional III</t>
  </si>
  <si>
    <t>Curso Formativo de Bienestar Institucional IV</t>
  </si>
  <si>
    <t>Matriz de relacionamiento – Ingeniería Biomédica</t>
  </si>
  <si>
    <t>Universidad de San Buenaventura – Facultad de Ingeniería · 9 semestres · 61 espacios académicos · 156 créditos</t>
  </si>
  <si>
    <t>Ingeniería Biomédica</t>
  </si>
  <si>
    <t>Dibujo para Ingeniería</t>
  </si>
  <si>
    <t>Fisiología</t>
  </si>
  <si>
    <t>Circuitos DC</t>
  </si>
  <si>
    <t>Circuitos AC</t>
  </si>
  <si>
    <t>Programación I</t>
  </si>
  <si>
    <t>Biofísica Médica</t>
  </si>
  <si>
    <t>Electrónica Análoga I</t>
  </si>
  <si>
    <t>Biomecánica</t>
  </si>
  <si>
    <t>Señales y Sistemas</t>
  </si>
  <si>
    <t>Programación II</t>
  </si>
  <si>
    <t>Electrónica Análoga II</t>
  </si>
  <si>
    <t>Ingeniería Clínica I</t>
  </si>
  <si>
    <t>Gestión de tecnología hospitalaria</t>
  </si>
  <si>
    <t>Gestión del equipamiento y la tecnología en instituciones de salud</t>
  </si>
  <si>
    <t>Adquisición y mantenimiento de tecnología médica, normatividad, gestión de servicios clínicos</t>
  </si>
  <si>
    <t>Alta - gestión de recursos y tecnología en una organización de salud</t>
  </si>
  <si>
    <t>DP-12: simulador de gestión de tecnología hospitalaria (adquisición, mantenimiento y disponibilidad)</t>
  </si>
  <si>
    <t>Desarrollo propio (DP-12) + SimProject complementario</t>
  </si>
  <si>
    <t>Es la única asignatura de gestión propiamente dicha del programa de Biomédica. Las decisiones de adquisición, mantenimiento y disponibilidad de tecnología clínica no las modela ningún simulador del portafolio, lo que la convierte en la mejor candidata a desarrollo propio del programa.</t>
  </si>
  <si>
    <t>Biomateriales</t>
  </si>
  <si>
    <t>Sistemas Microprocesados</t>
  </si>
  <si>
    <t>Ingeniería Clínica II</t>
  </si>
  <si>
    <t>Ingeniería Rehabilitación</t>
  </si>
  <si>
    <t>Bioinstrumentación</t>
  </si>
  <si>
    <t>Electiva de Profundización III</t>
  </si>
  <si>
    <t>Electiva Profundización IV</t>
  </si>
  <si>
    <t>Sistemas de Control</t>
  </si>
  <si>
    <t>Trabajo de Grado</t>
  </si>
  <si>
    <t>Integración profesional – trabajo de grado</t>
  </si>
  <si>
    <t>Desarrollo autónomo de un trabajo de grado</t>
  </si>
  <si>
    <t>Formulación, desarrollo y sustentación del trabajo de grado</t>
  </si>
  <si>
    <t>Media - el trabajo de grado se gestiona como proyecto</t>
  </si>
  <si>
    <t>SimProject (uso exploratorio)</t>
  </si>
  <si>
    <t>El trabajo de grado puede gestionarse con lógica de proyecto, pero su objeto es la investigación o el desarrollo propio del estudiante, no la gestión.</t>
  </si>
  <si>
    <t>Matriz de relacionamiento – Ingeniería Electrónica</t>
  </si>
  <si>
    <t>Universidad de San Buenaventura – Facultad de Ingeniería · SNIES 3828 · 8 semestres · 58 espacios académicos · 143 créditos</t>
  </si>
  <si>
    <t>Ingeniería Electrónica</t>
  </si>
  <si>
    <t>Fundamentos de Electrónica</t>
  </si>
  <si>
    <t>Cálculo</t>
  </si>
  <si>
    <t>Circuitos Eléctricos I</t>
  </si>
  <si>
    <t>Física de Ondas y Oscilaciones</t>
  </si>
  <si>
    <t>Circuitos Eléctricos II</t>
  </si>
  <si>
    <t>Sistemas Digitales</t>
  </si>
  <si>
    <t>Campos Electromagnético</t>
  </si>
  <si>
    <t>Circuitos Electrónicos I</t>
  </si>
  <si>
    <t>Sistema de Computación Embebida</t>
  </si>
  <si>
    <t>Sistemas Automáticos de Control de Procesos</t>
  </si>
  <si>
    <t>Electrónica de Comunicaciones</t>
  </si>
  <si>
    <t>Instrumentación Industrial</t>
  </si>
  <si>
    <t>Circuitos Electrónicos II</t>
  </si>
  <si>
    <t>Automatización Electrónica</t>
  </si>
  <si>
    <t>Electrónica de Potencia</t>
  </si>
  <si>
    <t>Redes de Datos</t>
  </si>
  <si>
    <t>Diseño de Ingeniería Electrónica I</t>
  </si>
  <si>
    <t>Diseño de Ingeniería Electrónica II</t>
  </si>
  <si>
    <t>Electiva Complementaria IV</t>
  </si>
  <si>
    <t>Matriz de relacionamiento – Ingeniería Biológica</t>
  </si>
  <si>
    <t>Universidad de San Buenaventura – Facultad de Ingeniería · SNIES 3828 · 8 semestres · 55 espacios académicos · 144 créditos</t>
  </si>
  <si>
    <t>Ingeniería Biológica</t>
  </si>
  <si>
    <t>Física</t>
  </si>
  <si>
    <t>Química de Agua y Suelo</t>
  </si>
  <si>
    <t>Fisiología Vegetal</t>
  </si>
  <si>
    <t>Ingeniería Genética</t>
  </si>
  <si>
    <t>Ecología Agrícola</t>
  </si>
  <si>
    <t>Ética en Ingeniería Biológica</t>
  </si>
  <si>
    <t>Bioestadística</t>
  </si>
  <si>
    <t>Ingeniería de Procesos Biológicos I</t>
  </si>
  <si>
    <t>Biología Molecular</t>
  </si>
  <si>
    <t>Agricultura Regenerativa</t>
  </si>
  <si>
    <t>Biotecnología</t>
  </si>
  <si>
    <t>Modelamiento de Sistemas Biológicos</t>
  </si>
  <si>
    <t>Bioinformática</t>
  </si>
  <si>
    <t>Diseño en Ingeniería Biológica I</t>
  </si>
  <si>
    <t>Analítica de Datos</t>
  </si>
  <si>
    <t>Ingeniería de Procesos Biológicos II</t>
  </si>
  <si>
    <t>Diseño en Ingeniería Biológica II</t>
  </si>
  <si>
    <t>Priorización comercial de oportunidades</t>
  </si>
  <si>
    <t>Universidad de San Buenaventura · ranking de espacios académicos con mayor potencial de implementación</t>
  </si>
  <si>
    <t>Ranking</t>
  </si>
  <si>
    <t>Bloque</t>
  </si>
  <si>
    <t>Programa(s) donde aparece</t>
  </si>
  <si>
    <t>N.º de programas</t>
  </si>
  <si>
    <t>¿Por qué es una oportunidad?</t>
  </si>
  <si>
    <t>Argumento para la conversación comercial</t>
  </si>
  <si>
    <t>Top 15</t>
  </si>
  <si>
    <t>3C</t>
  </si>
  <si>
    <t>Es la conversación más corta de toda la facultad: el curso ya se llama como lo que hace el simulador. Único espacio de emprendimiento en los siete programas, así que es la puerta de entrada obligada de la familia Emprendimiento del catálogo.</t>
  </si>
  <si>
    <t>Está en tres programas (Industrial, Agroindustrial y Biológica) con el mismo nombre y probablemente con docentes compartidos: una sola demostración puede cerrar tres cursos.</t>
  </si>
  <si>
    <t>2C</t>
  </si>
  <si>
    <t>Argumento directo: hoy la estrategia se evalúa por documento; con el simulador se evalúa por desempeño sostenido frente a competidores. Con 2 créditos conviene ofrecer Business21 antes que un nivel 5.</t>
  </si>
  <si>
    <t>Está en Industrial y Agroindustrial. Requiere mostrar los reportes financieros del simulador; con una demostración de 20 minutos la objeción desaparece.</t>
  </si>
  <si>
    <t>2, 3C</t>
  </si>
  <si>
    <t>Está en Industrial y Biológica. Se vende mejor como paquete con Ingeniería Económica que como caso aislado.</t>
  </si>
  <si>
    <t>Permite proponer dos productos en un mismo curso con justificación académica distinta para cada uno.</t>
  </si>
  <si>
    <t>Permite introducir SimAgile en un programa de industrial, donde normalmente sólo se conversa sobre SimVenture.</t>
  </si>
  <si>
    <t>Es la asignatura de negocio de Biomédica, un programa donde el portafolio no tiene otra entrada natural.</t>
  </si>
  <si>
    <t>Es la única asignatura de gestión de Electrónica: entrar por aquí es la forma de existir en ese programa.</t>
  </si>
  <si>
    <t>El docente de esta asignatura suele ser también el de los proyectos de diseño de software, lo que concentra la decisión en un solo interlocutor dentro del programa.</t>
  </si>
  <si>
    <t>Es la aplicación más reconocible de un simulador de negocios; casi no requiere explicación previa. En Agroindustrial aparece como Mercadeo e Investigación de Mercados.</t>
  </si>
  <si>
    <t>Oportunidad de segundo nivel: conviene incluirla dentro de un acuerdo de programa y no venderla de forma aislada.</t>
  </si>
  <si>
    <t>4C</t>
  </si>
  <si>
    <t>Siguiente nivel</t>
  </si>
  <si>
    <t>S3</t>
  </si>
  <si>
    <t>Entrada temprana en la línea de software, con alto volumen de estudiantes y docentes ya familiarizados con marcos ágiles.</t>
  </si>
  <si>
    <t>Complementa la conversación de la línea de software; se cierra junto con Gestión de Proyectos de Software.</t>
  </si>
  <si>
    <t>Es la asignatura de gestión de Multimedia, programa donde el resto de la malla es creativa y técnica.</t>
  </si>
  <si>
    <t>Cada fila es una conversación comercial, no una asignatura: cuando la misma asignatura aparece en varios programas se agrupa en una sola línea. Criterio de ordenamiento: nivel de encaje con el temario (Alta &gt; Media), grado de ajuste con el catálogo CompanyGame, número de programas donde aparece la asignatura, créditos y existencia de producto listo para usar.</t>
  </si>
  <si>
    <t>Oportunidades de desarrollo propio de simuladores</t>
  </si>
  <si>
    <t>Asignaturas sin cobertura de SimVenture, SimAgile, SimProject ni del catálogo CompanyGame, priorizadas por transversalidad entre asignaturas y programas</t>
  </si>
  <si>
    <t>Código</t>
  </si>
  <si>
    <t>Simulador propuesto</t>
  </si>
  <si>
    <t>Programa(s)</t>
  </si>
  <si>
    <t>Problema o necesidad académica que resuelve</t>
  </si>
  <si>
    <t>Temática que debería simular</t>
  </si>
  <si>
    <t>Decisiones que debería permitir tomar al estudiante</t>
  </si>
  <si>
    <t>Competencias que permitiría desarrollar</t>
  </si>
  <si>
    <t>Por qué conviene un desarrollo propio y no un simulador existente</t>
  </si>
  <si>
    <t>Transversalidad</t>
  </si>
  <si>
    <t>DP-01</t>
  </si>
  <si>
    <t>Simulador de Planeación y Control de Operaciones</t>
  </si>
  <si>
    <t>Ing. Industrial · Ing. Agroindustrial · Ing. Biológica</t>
  </si>
  <si>
    <t>El núcleo productivo de tres programas (Gestión de Operaciones, Investigación de Operaciones, Ingeniería de Métodos y Tiempos, Simulación de Procesos Discretos, Localización y Diseño de Plantas, Procesos Agroindustriales I y II, Ingeniería de Procesos Biológicos I y II) no tiene ningún simulador aplicable, ni propio ni del catálogo CompanyGame.</t>
  </si>
  <si>
    <t>Una planta con demanda variable: pronóstico, plan de producción, capacidad, inventarios y programación.</t>
  </si>
  <si>
    <t>Nivel de producción por período; tamaño de lote; turnos y contratación; inventario de seguridad; subcontratación; inversión en capacidad.</t>
  </si>
  <si>
    <t>Planeación y control de operaciones; gestión de inventarios; análisis del trade-off costo-nivel de servicio; decisión bajo demanda incierta.</t>
  </si>
  <si>
    <t>SimVenture y Businessglobal modelan la producción de forma agregada, muy por debajo del nivel de estos cursos. Es el mayor vacío del portafolio frente a la Facultad de Ingeniería de San Buenaventura y el desarrollo con más asignaturas destino.</t>
  </si>
  <si>
    <t>Muy alta - 9 asignaturas en 3 programas</t>
  </si>
  <si>
    <t>Prioridad 1</t>
  </si>
  <si>
    <t>DP-03</t>
  </si>
  <si>
    <t>Simulador de Implementación y Auditoría de Sistemas de Gestión de Calidad</t>
  </si>
  <si>
    <t>Ing. Industrial · Ing. Agroindustrial</t>
  </si>
  <si>
    <t>Gestión de Calidad existe con el mismo nombre en dos programas y se enseña leyendo la norma: el estudiante no experimenta el costo, la resistencia interna ni el resultado de una auditoría.</t>
  </si>
  <si>
    <t>Implementación de un sistema de gestión: diagnóstico, documentación, capacitación, auditoría interna y certificación.</t>
  </si>
  <si>
    <t>Qué procesos documentar primero; presupuesto y equipo asignado; profundidad de la capacitación; tratamiento de no conformidades; momento de solicitar la certificación.</t>
  </si>
  <si>
    <t>Gestión por procesos; planeación de la implementación; auditoría interna; mejora continua.</t>
  </si>
  <si>
    <t>Del catálogo CompanyGame sólo ESGManagement toca de forma parcial la dimensión ambiental y social; el contenido normativo y de auditoría, que es el núcleo del curso, no está cubierto por ningún producto.</t>
  </si>
  <si>
    <t>Alta - 2 asignaturas en 2 programas, más Control Estadístico de Procesos</t>
  </si>
  <si>
    <t>DP-05</t>
  </si>
  <si>
    <t>Simulador de Gestión de Incidentes de Seguridad de la Información</t>
  </si>
  <si>
    <t>Ing. de Sistemas</t>
  </si>
  <si>
    <t>Seguridad Informática se enseña desde el control y la norma, sin experiencia de decisión bajo presión de tiempo ante un incidente real.</t>
  </si>
  <si>
    <t>Una organización que sufre incidentes: detección, contención, comunicación, recuperación y aprendizaje.</t>
  </si>
  <si>
    <t>Inversión en controles preventivos frente a controles de detección; a quién y cuándo comunicar; aislar o mantener el servicio; prioridad de recuperación.</t>
  </si>
  <si>
    <t>Análisis y tratamiento del riesgo; respuesta a incidentes; continuidad del negocio; comunicación de crisis.</t>
  </si>
  <si>
    <t>Ningún simulador del portafolio ni del catálogo aborda seguridad. El tema tiene alta demanda institucional y prácticamente no hay oferta en español, lo que lo hace muy defendible comercialmente.</t>
  </si>
  <si>
    <t>Media - 1 asignatura, pero de alta visibilidad institucional</t>
  </si>
  <si>
    <t>Prioridad 2</t>
  </si>
  <si>
    <t>DP-04</t>
  </si>
  <si>
    <t>Simulador de Cadena de Suministro</t>
  </si>
  <si>
    <t>Gestión Cadena Abastecimiento exige comprender el efecto látigo y la coordinación entre eslabones, algo que no se enseña con ejercicios individuales de inventario.</t>
  </si>
  <si>
    <t>Una cadena de varios eslabones con demanda variable, tiempos de entrega y costos de faltante.</t>
  </si>
  <si>
    <t>Cantidad y momento de pedido; selección de proveedores; nivel de servicio objetivo; modo de transporte; información compartida entre eslabones.</t>
  </si>
  <si>
    <t>Gestión de inventarios; coordinación de la cadena; trade-off costo-servicio; decisión con información incompleta.</t>
  </si>
  <si>
    <t>SimVenture y Businessglobal incluyen compras e inventarios dentro de una sola empresa; ninguno modela la cadena ni la interacción entre eslabones, que es el aprendizaje central del curso.</t>
  </si>
  <si>
    <t>Media - 1 asignatura directa y 3 relacionadas</t>
  </si>
  <si>
    <t>DP-12</t>
  </si>
  <si>
    <t>Simulador de Gestión de Tecnología Hospitalaria</t>
  </si>
  <si>
    <t>Ing. Biomédica</t>
  </si>
  <si>
    <t>Ingeniería Clínica I y II son las únicas asignaturas de gestión del programa y hoy no tienen ninguna herramienta de decisión asociada. Sin este desarrollo, Biomédica queda prácticamente fuera del portafolio.</t>
  </si>
  <si>
    <t>Un servicio de ingeniería clínica: parque de equipos médicos, mantenimiento, disponibilidad y presupuesto.</t>
  </si>
  <si>
    <t>Qué tecnología adquirir y cuándo renovarla; mantenimiento preventivo frente a correctivo; nivel de disponibilidad objetivo; asignación del presupuesto entre servicios.</t>
  </si>
  <si>
    <t>Gestión de activos tecnológicos; planeación del mantenimiento; análisis costo-disponibilidad; gestión presupuestal en una institución de salud.</t>
  </si>
  <si>
    <t>Ningún simulador del portafolio ni del catálogo modela la gestión de tecnología en salud. Es un nicho con muy poca competencia y aplicable también a programas de administración en salud de otras universidades.</t>
  </si>
  <si>
    <t>Media - 2 asignaturas, pero es la única entrada al programa</t>
  </si>
  <si>
    <t>DP-11</t>
  </si>
  <si>
    <t>Simulador de Gestión de una Producción Audiovisual o Multimedia</t>
  </si>
  <si>
    <t>Ing. Multimedia</t>
  </si>
  <si>
    <t>La malla de Multimedia es creativa y técnica: sólo Gestión en Proyectos y Proyecto en Ingeniería tienen componente de gestión. Los talleres de producción no tienen ninguna herramienta de decisión.</t>
  </si>
  <si>
    <t>Una producción audiovisual o interactiva: presupuesto, cronograma, equipo creativo, cliente y alcance.</t>
  </si>
  <si>
    <t>Composición del equipo; asignación de presupuesto entre etapas; manejo de cambios de alcance del cliente; calidad frente a fecha de entrega; derechos y licenciamiento.</t>
  </si>
  <si>
    <t>Gestión de proyectos creativos; presupuestación; negociación de alcance con el cliente; trabajo en equipo multidisciplinar.</t>
  </si>
  <si>
    <t>SimProject cubre la lógica de proyecto pero no el contexto creativo ni la relación con el cliente, que es lo que hace reconocible el curso para el docente de Multimedia.</t>
  </si>
  <si>
    <t>Media - 3 a 4 asignaturas de un programa</t>
  </si>
  <si>
    <t>Prioridad 3</t>
  </si>
  <si>
    <t>DP-13</t>
  </si>
  <si>
    <t>Simulador de Digitalización de una Operación Agropecuaria</t>
  </si>
  <si>
    <t>Ing. Agroindustrial · Ing. Biológica</t>
  </si>
  <si>
    <t>GestiónDigital de Sistemas Agropecuarios y Agricultura Regenerativa tratan la adopción de tecnología en el campo sin ninguna experiencia de decisión.</t>
  </si>
  <si>
    <t>Una operación agropecuaria que incorpora tecnología: sensores, datos, trazabilidad y prácticas sostenibles.</t>
  </si>
  <si>
    <t>Qué tecnología adoptar y en qué orden; inversión frente a retorno esperado; manejo del recurso hídrico y del suelo; trazabilidad y certificaciones.</t>
  </si>
  <si>
    <t>Adopción tecnológica; decisión de inversión en el agro; sostenibilidad de la operación; uso de datos.</t>
  </si>
  <si>
    <t>TRANSFORMA y Global2030 cubren la transformación digital de forma genérica; el contexto agropecuario, que es lo que hace pertinente el curso, no está modelado.</t>
  </si>
  <si>
    <t>Media - 3 asignaturas en 2 programas</t>
  </si>
  <si>
    <t>DP-06</t>
  </si>
  <si>
    <t>Simulador de Control Estadístico de Procesos</t>
  </si>
  <si>
    <t>Ing. Industrial</t>
  </si>
  <si>
    <t>El control estadístico se enseña sobre series de datos dadas; el estudiante nunca decide cuándo intervenir un proceso ni asume el costo de equivocarse.</t>
  </si>
  <si>
    <t>Un proceso con variabilidad natural y causas asignables: muestreo, cartas de control y costo de la no calidad.</t>
  </si>
  <si>
    <t>Tamaño y frecuencia del muestreo; cuándo intervenir el proceso; nivel de inspección; inversión en mejora.</t>
  </si>
  <si>
    <t>Control estadístico de procesos; análisis de capacidad; decisión bajo variabilidad; costeo de la calidad.</t>
  </si>
  <si>
    <t>Ningún simulador de gestión, ni propio ni del catálogo, modela variabilidad de proceso. Desarrollo acotado, de complejidad media, reutilizable con el motor de DP-01.</t>
  </si>
  <si>
    <t>Baja - 1 asignatura, complementaria de DP-01 y DP-03</t>
  </si>
  <si>
    <t>DP-07</t>
  </si>
  <si>
    <t>Simulador de Dilemas Éticos en la Decisión Profesional</t>
  </si>
  <si>
    <t>Todos los programas</t>
  </si>
  <si>
    <t>Ética, Ética en Ingeniería Biológica y los espacios franciscanos se enseñan de forma discursiva; no hay instrumento que muestre la consecuencia de una decisión cuestionable en el tiempo.</t>
  </si>
  <si>
    <t>Decisiones profesionales con tensión entre resultado económico, impacto ambiental y consecuencias éticas.</t>
  </si>
  <si>
    <t>Aceptar o rechazar prácticas rentables pero cuestionables; nivel de transparencia; inversión en mitigación; reporte de un hallazgo incómodo.</t>
  </si>
  <si>
    <t>Razonamiento ético aplicado; análisis de impacto; responsabilidad profesional.</t>
  </si>
  <si>
    <t>La familia ESG Management cubre la dimensión de sostenibilidad y debe ofrecerse primero; el dilema ético profesional propiamente dicho no lo aborda ningún producto. Desarrollo de baja complejidad, basado en escenarios.</t>
  </si>
  <si>
    <t>Media - presente en los 7 programas, con baja complejidad de desarrollo</t>
  </si>
  <si>
    <t>DP-10</t>
  </si>
  <si>
    <t>Línea de laboratorios virtuales (producto distinto a simuladores de gestión)</t>
  </si>
  <si>
    <t>Las asignaturas de física, química, biología y electrónica dependen de infraestructura física, insumos y disponibilidad de espacio, con limitaciones de cupo y de repetición de la práctica.</t>
  </si>
  <si>
    <t>Prácticas experimentales de física, química, biología, bioprocesos y electrónica.</t>
  </si>
  <si>
    <t>Montaje experimental; variación de parámetros; repetición de mediciones; interpretación de resultados.</t>
  </si>
  <si>
    <t>Competencia experimental; manejo de instrumentos; análisis de datos experimentales.</t>
  </si>
  <si>
    <t>Se registra por completitud del análisis: no es una oportunidad para simuladores de gestión sino para una línea de producto distinta, con otro interlocutor y otro presupuesto dentro de la universidad.</t>
  </si>
  <si>
    <t>Alta en número de asignaturas, pero corresponde a otra línea de producto</t>
  </si>
  <si>
    <t>Fuera del alcance de simuladores de gestión</t>
  </si>
  <si>
    <t>Ruta de implementación y recomendaciones estratégicas</t>
  </si>
  <si>
    <t>Insumo para la conversación con el decano de Ingeniería y los directores de los siete programas</t>
  </si>
  <si>
    <t>Conclusión por programa</t>
  </si>
  <si>
    <t>Programa de mayor potencial de la facultad. SimVenture y las familias Negocios y estrategia y Finanzas del catálogo cubren Gestión Estratégica Organizacional (4), Ingeniería de Costos (4), Ingeniería Económica (5) e Investigación de Mercados (5); SimAgile entra por Diseño de Productos y Servicios (6) e InnovaTech; SimProject por Gerencia de Proyectos de Ingeniería (6) y los dos Diseño en Ingeniería Industrial. La línea de operaciones (Gestión de Operaciones, Cadena de Abastecimiento, Métodos y Tiempos, Localización de Plantas, Simulación de Procesos Discretos, Control Estadístico) no tiene cobertura y es el destino del desarrollo propio DP-01.</t>
  </si>
  <si>
    <t>Terreno de SimAgile y SimProject, con la línea de software recorriendo siete semestres. Cátedra de Emprendimiento (7) es el mejor encaje individual de toda la facultad para SimVenture y para la familia Emprendimiento. Seguridad Informática (8) es la mejor candidata a desarrollo propio del programa. El componente técnico de programación, bases de datos y redes no ofrece oportunidad y no debe forzarse. La lámina de este programa no publica componentes de formación.</t>
  </si>
  <si>
    <t>Encaje limitado y concentrado: Gestión en Proyectos (6) y Proyecto en Ingeniería (7) son las dos entradas reales para SimProject; Diseño de Medios Digitales y Diseño de Experiencias Interactivas admiten SimAgile de forma parcial. El resto de la malla es producción creativa y técnica. La oportunidad diferenciadora es un simulador propio de gestión de producción audiovisual (DP-11).</t>
  </si>
  <si>
    <t>Segundo programa en potencial. Mercadeo e Investigación de Mercados (4), Ingeniería Económica (5), Gerencia de Proyectos de Ingeniería (6) y Gestión de Calidad (7) son entradas claras; GestiónDigital de Sistemas Agropecuarios (4) abre la familia Business Transformation. Los procesos agroindustriales son destino del desarrollo propio DP-01 adaptado al sector.</t>
  </si>
  <si>
    <t>Programa con el menor encaje del portafolio actual: sólo Valoración de Proyectos (7) e Ingeniería Clínica I y II (6 y 7) tienen componente de gestión, y Franciscanismo y Ecología (2) abre ESG. Sin un desarrollo propio de gestión de tecnología hospitalaria (DP-12), la conversación con este programa se agota rápido.</t>
  </si>
  <si>
    <t>Una sola asignatura de gestión: Gestión de Productos Tecnológicos (7), con encaje perfecto con InnovaTech y alto con SimAgile. Prototipado de Soluciones Tecnológicas (6) y los dos Diseño de Ingeniería Electrónica complementan. Entrar por ahí y no forzar el resto de la malla, que es íntegramente técnica.</t>
  </si>
  <si>
    <t>Encaje moderado: Ingeniería de Costos (4), Gerencia de Proyectos de Ingeniería (5) y Analítica de Datos (7) son las entradas; Ecología Agrícola, Agricultura Regenerativa y Ética en Ingeniería Biológica abren la familia ESG. La lámina no publica componente de formación sino modalidad, por lo que esa columna queda vacía.</t>
  </si>
  <si>
    <t>Ruta de implementación</t>
  </si>
  <si>
    <t>Asignatura o espacio curricular</t>
  </si>
  <si>
    <t>Acción sugerida</t>
  </si>
  <si>
    <t>Horizonte</t>
  </si>
  <si>
    <t>Prioridad 1 - Implementación inmediata</t>
  </si>
  <si>
    <t>CÁTEDRA DE EMPRENDIMIENTO</t>
  </si>
  <si>
    <t>S7 · Sistemas</t>
  </si>
  <si>
    <t>SimVenture o familia Emprendimiento (CompanyGame)</t>
  </si>
  <si>
    <t>Es el encaje más natural de toda la facultad y no requiere ninguna argumentación previa. Iniciar aquí.</t>
  </si>
  <si>
    <t>0-6 meses</t>
  </si>
  <si>
    <t>GERENCIA DE PROYECTOS DE INGENIERÍA</t>
  </si>
  <si>
    <t>S5-S6 · Industrial, Agroindustrial, Biológica</t>
  </si>
  <si>
    <t>Una sola demostración puede cerrar tres programas: misma asignatura, mismo nombre, posiblemente mismos docentes.</t>
  </si>
  <si>
    <t>GESTIÓN DE PROYECTOS DE SOFTWARE + PROYECTOS DE DISEÑO</t>
  </si>
  <si>
    <t>S6-S8 · Sistemas</t>
  </si>
  <si>
    <t>SimAgile + SimProject</t>
  </si>
  <si>
    <t>Paquete doble con el mismo docente de la línea de software.</t>
  </si>
  <si>
    <t>GESTIÓN ESTRATÉGICA ORGANIZACIONAL + INGENIERÍA DE COSTOS</t>
  </si>
  <si>
    <t>S4 · Industrial</t>
  </si>
  <si>
    <t>SimVenture o Business21 / ContaTrainer</t>
  </si>
  <si>
    <t>Vender la línea de gestión completa del programa, no la asignatura suelta.</t>
  </si>
  <si>
    <t>INGENIERÍA ECONÓMICA e INVESTIGACIÓN DE MERCADEO</t>
  </si>
  <si>
    <t>S4-S5 · Industrial y Agroindustrial</t>
  </si>
  <si>
    <t>SimVenture, Kapital o MarketGame</t>
  </si>
  <si>
    <t>Ampliar el acuerdo del programa hacia la línea financiera y comercial.</t>
  </si>
  <si>
    <t>Prioridad 2 - Potencial de implementación</t>
  </si>
  <si>
    <t>DISEÑO DE PRODUCTOS Y SERVICIOS / GESTIÓN DE PRODUCTOS TECNOLÓGICOS</t>
  </si>
  <si>
    <t>S6-S7 · Industrial y Electrónica</t>
  </si>
  <si>
    <t>SimAgile o InnovaTech</t>
  </si>
  <si>
    <t>Puerta de entrada de SimAgile fuera de Sistemas; en Electrónica es la única entrada del programa.</t>
  </si>
  <si>
    <t>6-12 meses</t>
  </si>
  <si>
    <t>EVALUACIÓN DE PROYECTOS DE SOFTWARE / VALORACIÓN DE PROYECTOS</t>
  </si>
  <si>
    <t>S7-S9 · Sistemas y Biomédica</t>
  </si>
  <si>
    <t>SimVenture + SimProject</t>
  </si>
  <si>
    <t>Paquete doble; en Biomédica es la única asignatura de negocio del plan.</t>
  </si>
  <si>
    <t>FRANCISCANISMO Y ECOLOGÍA · ECOLOGÍA AGRÍCOLA · ÉTICA</t>
  </si>
  <si>
    <t>S2-S9 · varios programas</t>
  </si>
  <si>
    <t>Presentar como propuesta de facultad ligada al sello franciscano, no como venta de programa.</t>
  </si>
  <si>
    <t>INTRODUCCIÓN A LA INGENIERÍA</t>
  </si>
  <si>
    <t>S1 · los 7 programas</t>
  </si>
  <si>
    <t>T-Shirt o Sunny Day (CompanyGame)</t>
  </si>
  <si>
    <t>Entrada de mayor volumen de estudiantes de la facultad, con el menor costo de entrada.</t>
  </si>
  <si>
    <t>PRÁCTICA PROFESIONAL</t>
  </si>
  <si>
    <t>S7-S9 · los 7 programas</t>
  </si>
  <si>
    <t>SimVenture o Businessglobal</t>
  </si>
  <si>
    <t>Uso de preparación previa; baja resistencia docente, útil para abrir puerta en programas difíciles.</t>
  </si>
  <si>
    <t>ESPACIOS ELECTIVOS Y DE PROFUNDIZACIÓN</t>
  </si>
  <si>
    <t>varios · los 7 programas</t>
  </si>
  <si>
    <t>Según contenido</t>
  </si>
  <si>
    <t>38 espacios electivos sin contenido definido: diseñar una electiva basada en simulador es la vía de inserción más rápida y no exige comité curricular.</t>
  </si>
  <si>
    <t>Prioridad 3 - Oportunidades de desarrollo propio</t>
  </si>
  <si>
    <t>LÍNEA DE OPERACIONES Y PROCESOS</t>
  </si>
  <si>
    <t>S5-S8 · Industrial, Agroindustrial, Biológica</t>
  </si>
  <si>
    <t>DP-01 Operaciones</t>
  </si>
  <si>
    <t>Levantar requerimientos con los docentes de la línea; es el mayor vacío del portafolio.</t>
  </si>
  <si>
    <t>12-24 meses</t>
  </si>
  <si>
    <t>GESTIÓN DE CALIDAD</t>
  </si>
  <si>
    <t>S7 · Industrial y Agroindustrial</t>
  </si>
  <si>
    <t>DP-03 Sistemas de gestión</t>
  </si>
  <si>
    <t>Desarrollo compartido entre dos programas.</t>
  </si>
  <si>
    <t>SEGURIDAD INFORMÁTICA</t>
  </si>
  <si>
    <t>S8 · Sistemas</t>
  </si>
  <si>
    <t>DP-05 Gestión de incidentes</t>
  </si>
  <si>
    <t>Tema de alta visibilidad institucional sin oferta comparable en español.</t>
  </si>
  <si>
    <t>INGENIERÍA CLÍNICA I y II</t>
  </si>
  <si>
    <t>S6-S7 · Biomédica</t>
  </si>
  <si>
    <t>DP-12 Tecnología hospitalaria</t>
  </si>
  <si>
    <t>Sin este desarrollo, Biomédica queda fuera del portafolio.</t>
  </si>
  <si>
    <t>Recomendaciones para la conversación comercial</t>
  </si>
  <si>
    <t>•  Entrar por CÁTEDRA DE EMPRENDIMIENTO en Ingeniería de Sistemas: es el encaje más natural de los siete programas y la conversación que menos argumentación requiere. Un piloto ahí genera el testimonio docente que sostiene todo lo demás.</t>
  </si>
  <si>
    <t>•  Tratar GERENCIA DE PROYECTOS DE INGENIERÍA como una sola venta de facultad y no como tres ventas de programa: aparece con el mismo nombre en Industrial, Agroindustrial y Biológica.</t>
  </si>
  <si>
    <t>•  Vender Ingeniería Industrial por líneas y no por asignaturas: la línea de gestión (semestres 4 a 7) admite SimVenture o Business21, Kapital, MarketGame e InnovaTech dentro de un mismo acuerdo.</t>
  </si>
  <si>
    <t>•  Usar el escalonamiento por niveles del catálogo como argumento de continuidad: T-Shirt en primer semestre, Business21 en el ciclo intermedio y Businessglobal o Business Strategy en el ciclo profesional. Convierte una venta puntual en una ruta de varios años.</t>
  </si>
  <si>
    <t>•  Llevar ESG por el lado del sello franciscano: Franciscanismo y Ecología, Ecología Agrícola y Agricultura Regenerativa son espacios donde ESGProject conecta con la identidad institucional de la universidad.</t>
  </si>
  <si>
    <t>•  Aprovechar los 38 espacios electivos y de profundización de los siete programas: diseñar una electiva basada en simulador no exige modificar el plan de estudios ni pasar por comité curricular.</t>
  </si>
  <si>
    <t>•  No ofrecer la familia HORECA a esta facultad y no forzar la oferta en ciencias básicas, laboratorios ni en las asignaturas técnicas de electrónica, circuitos, redes y programación. La credibilidad de la propuesta ante el decano depende de haber marcado esas asignaturas como no aplicables.</t>
  </si>
  <si>
    <t>•  Con Biomédica, Multimedia y Electrónica plantear la conversación como coinversión en un desarrollo propio (DP-12, DP-11) y no como venta de licencias: el portafolio actual no les alcanza y ofrecerlo igual desgasta la relación.</t>
  </si>
  <si>
    <t>•  Levantar los microcurrículos de las 15 asignaturas priorizadas antes de la reunión: las competencias de este análisis son inferencias basadas en el nombre y la ubicación de cada asignatura.</t>
  </si>
  <si>
    <t>•  Verificar con la facultad las tres inconsistencias de créditos detectadas en las láminas (Sistemas S5, Multimedia S6, Electrónica S6) y el SNIES repetido entre Electrónica y Biológica: mencionarlo con tacto demuestra que el análisis se hizo asignatura por asignatura.</t>
  </si>
  <si>
    <t>Catálogo CompanyGame y su aplicación a la Facultad de Ingeniería</t>
  </si>
  <si>
    <t>41 simuladores en 7 familias, según el cuadro de portafolio entregado por el cliente</t>
  </si>
  <si>
    <t>Familia</t>
  </si>
  <si>
    <t>Nivel</t>
  </si>
  <si>
    <t>Aplicación en los siete programas de esta facultad</t>
  </si>
  <si>
    <t>Negocios y estrategia</t>
  </si>
  <si>
    <t>T-Shirt</t>
  </si>
  <si>
    <t>Niveles 1 a 2</t>
  </si>
  <si>
    <t>La familia con más recorrido. Gestión Estratégica Organizacional (Industrial), Desarrollo de Aplicaciones Empresariales (Sistemas) y las prácticas profesionales de los siete programas. T-Shirt y Sunny Day cubren Introducción a la Ingeniería, presente en los siete planes: la entrada de mayor volumen de estudiantes.</t>
  </si>
  <si>
    <t>Sunny Day</t>
  </si>
  <si>
    <t>Energy&amp;Co</t>
  </si>
  <si>
    <t>Business21</t>
  </si>
  <si>
    <t>Niveles 3 y 4</t>
  </si>
  <si>
    <t>Nivel 5</t>
  </si>
  <si>
    <t>Business Strategy</t>
  </si>
  <si>
    <t>Niveles 6 y 7</t>
  </si>
  <si>
    <t>Marketing y ventas</t>
  </si>
  <si>
    <t>MarketGame</t>
  </si>
  <si>
    <t>Aplica en dos asignaturas: Investigación de Mercados (Industrial, 5) y Mercadeo e Investigación de Mercados (Agroindustrial, 4). Los cuatro niveles de la familia permiten ajustar la propuesta al presupuesto.</t>
  </si>
  <si>
    <t>Coffee Time</t>
  </si>
  <si>
    <t>SalesManager</t>
  </si>
  <si>
    <t>Food Company</t>
  </si>
  <si>
    <t>TechCompany</t>
  </si>
  <si>
    <t>GlobalMARKET</t>
  </si>
  <si>
    <t>FOCUS</t>
  </si>
  <si>
    <t>Finanzas y banca</t>
  </si>
  <si>
    <t>ContaTrainer</t>
  </si>
  <si>
    <t>ContaTrainer y Kapital aplican en Ingeniería de Costos (Industrial y Biológica) e Ingeniería Económica (Industrial y Agroindustrial). Los simuladores de banca no tienen asignatura destino en esta facultad.</t>
  </si>
  <si>
    <t>Advisor Jr.</t>
  </si>
  <si>
    <t>CORBATUL</t>
  </si>
  <si>
    <t>Bankgame</t>
  </si>
  <si>
    <t>BANKCOMPANY</t>
  </si>
  <si>
    <t>Emprendimiento</t>
  </si>
  <si>
    <t>FitnessGym</t>
  </si>
  <si>
    <t>Hallazgo principal del análisis: CÁTEDRA DE EMPRENDIMIENTO (Sistemas, semestre 7) es el único espacio de emprendimiento de los siete programas y el encaje más natural de todo el catálogo. También entra por Evaluación de Proyectos de Software y Valoración de Proyectos.</t>
  </si>
  <si>
    <t>Luxe Atelier</t>
  </si>
  <si>
    <t>Business Chef</t>
  </si>
  <si>
    <t>FitnessGym Executive</t>
  </si>
  <si>
    <t>Business Transformation</t>
  </si>
  <si>
    <t>InnovaTech encaja de forma perfecta en Diseño de Productos y Servicios (Industrial), Gestión de Productos Tecnológicos (Electrónica) y Prototipado de Soluciones Tecnológicas. TRANSFORMA y Global2030 aplican en GestiónDigital de Sistemas Agropecuarios, Analítica de Datos y Seguridad Informática. Organization &amp; People Management cubre la dimensión de equipos de la línea de software y de Ingeniería del Factor Humano.</t>
  </si>
  <si>
    <t>InterPyme</t>
  </si>
  <si>
    <t>Avocado Expand</t>
  </si>
  <si>
    <t>Niveles 3 y 4 / Nivel 5</t>
  </si>
  <si>
    <t>Global2020</t>
  </si>
  <si>
    <t>Global2030</t>
  </si>
  <si>
    <t>HORECA</t>
  </si>
  <si>
    <t>Hotel Virtual</t>
  </si>
  <si>
    <t>No aplica. Ninguna de las 412 asignaturas de los siete programas trabaja el sector hotelero o de restauración. Se marca como 'No encaja' de forma explícita: su destino en esta universidad serían programas de otras facultades, no Ingeniería.</t>
  </si>
  <si>
    <t>hotel game</t>
  </si>
  <si>
    <t>Casa Guadalupe</t>
  </si>
  <si>
    <t>Five Stars</t>
  </si>
  <si>
    <t>InnovaHotel</t>
  </si>
  <si>
    <t>Hotel Manager</t>
  </si>
  <si>
    <t>HotelCompany</t>
  </si>
  <si>
    <t>ESG Management</t>
  </si>
  <si>
    <t>Encaje transversal por el sello franciscano: Franciscanismo y Ecología (Sistemas y Biomédica), Ecología Agrícola y Agricultura Regenerativa (Biológica), Ética y Ética en Ingeniería Biológica, y de forma parcial Gestión de Calidad. Es la familia que mejor conecta con la identidad institucional de la universidad.</t>
  </si>
  <si>
    <t>GlobalManagement</t>
  </si>
  <si>
    <t>Corbatul</t>
  </si>
  <si>
    <t xml:space="preserve">MilkFactory </t>
  </si>
  <si>
    <t>Focus</t>
  </si>
  <si>
    <t>GlobalChain del catálogo de desarrollos</t>
  </si>
  <si>
    <t xml:space="preserve">FitnessGym </t>
  </si>
  <si>
    <t>CoffeeTime</t>
  </si>
  <si>
    <t xml:space="preserve">N1-2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</si>
</sst>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6"/>
      <color rgb="FFFFFFFF"/>
      <name val="Arial"/>
      <family val="2"/>
    </font>
    <font>
      <sz val="10"/>
      <color rgb="FFFFFFFF"/>
      <name val="Arial"/>
      <family val="2"/>
    </font>
    <font>
      <b/>
      <sz val="12"/>
      <color rgb="FF1F4E3D"/>
      <name val="Arial"/>
      <family val="2"/>
    </font>
    <font>
      <sz val="10"/>
      <name val="Arial"/>
      <family val="2"/>
    </font>
    <font>
      <b/>
      <sz val="10"/>
      <color rgb="FFFFFFFF"/>
      <name val="Arial"/>
      <family val="2"/>
    </font>
    <font>
      <b/>
      <sz val="10"/>
      <name val="Arial"/>
      <family val="2"/>
    </font>
    <font>
      <b/>
      <sz val="10"/>
      <color rgb="FF006100"/>
      <name val="Arial"/>
      <family val="2"/>
    </font>
    <font>
      <b/>
      <sz val="10"/>
      <color rgb="FF9C5700"/>
      <name val="Arial"/>
      <family val="2"/>
    </font>
    <font>
      <sz val="10"/>
      <color rgb="FF9C0006"/>
      <name val="Arial"/>
      <family val="2"/>
    </font>
    <font>
      <i/>
      <sz val="10"/>
      <color rgb="FF2F5597"/>
      <name val="Arial"/>
      <family val="2"/>
    </font>
    <font>
      <i/>
      <sz val="9"/>
      <color rgb="FF595959"/>
      <name val="Arial"/>
      <family val="2"/>
    </font>
    <font>
      <sz val="10"/>
      <color rgb="FF808080"/>
      <name val="Arial"/>
      <family val="2"/>
    </font>
    <font>
      <sz val="10"/>
      <name val="Arial"/>
      <family val="2"/>
    </font>
    <font>
      <sz val="10"/>
      <color rgb="FF808080"/>
      <name val="Arial"/>
      <family val="2"/>
    </font>
    <font>
      <sz val="11"/>
      <name val="Arial"/>
      <family val="2"/>
    </font>
  </fonts>
  <fills count="13">
    <fill>
      <patternFill patternType="none"/>
    </fill>
    <fill>
      <patternFill patternType="gray125"/>
    </fill>
    <fill>
      <patternFill patternType="solid">
        <fgColor rgb="FF1F4E3D"/>
        <bgColor rgb="FF1F3864"/>
      </patternFill>
    </fill>
    <fill>
      <patternFill patternType="solid">
        <fgColor rgb="FFD9E5DE"/>
        <bgColor rgb="FFDDEBF7"/>
      </patternFill>
    </fill>
    <fill>
      <patternFill patternType="solid">
        <fgColor rgb="FFC6EFCE"/>
        <bgColor rgb="FFD9E5DE"/>
      </patternFill>
    </fill>
    <fill>
      <patternFill patternType="solid">
        <fgColor rgb="FFFFEB9C"/>
        <bgColor rgb="FFE8F1EC"/>
      </patternFill>
    </fill>
    <fill>
      <patternFill patternType="solid">
        <fgColor rgb="FFFFC7CE"/>
        <bgColor rgb="FFD9E5DE"/>
      </patternFill>
    </fill>
    <fill>
      <patternFill patternType="solid">
        <fgColor rgb="FFDDEBF7"/>
        <bgColor rgb="FFE8F1EC"/>
      </patternFill>
    </fill>
    <fill>
      <patternFill patternType="solid">
        <fgColor rgb="FF1F3864"/>
        <bgColor rgb="FF1F4E3D"/>
      </patternFill>
    </fill>
    <fill>
      <patternFill patternType="solid">
        <fgColor rgb="FFE8F1EC"/>
        <bgColor rgb="FFF2F2F2"/>
      </patternFill>
    </fill>
    <fill>
      <patternFill patternType="solid">
        <fgColor rgb="FFF2F2F2"/>
        <bgColor rgb="FFE8F1EC"/>
      </patternFill>
    </fill>
    <fill>
      <patternFill patternType="solid">
        <fgColor rgb="FFFFFF00"/>
        <bgColor indexed="64"/>
      </patternFill>
    </fill>
    <fill>
      <patternFill patternType="solid">
        <fgColor rgb="FFFFFF00"/>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4"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horizontal="center"/>
    </xf>
    <xf numFmtId="0" fontId="7" fillId="4" borderId="1" xfId="0" applyFont="1" applyFill="1" applyBorder="1"/>
    <xf numFmtId="0" fontId="8" fillId="5" borderId="1" xfId="0" applyFont="1" applyFill="1" applyBorder="1"/>
    <xf numFmtId="0" fontId="9" fillId="6" borderId="1" xfId="0" applyFont="1" applyFill="1" applyBorder="1"/>
    <xf numFmtId="0" fontId="10" fillId="7" borderId="1" xfId="0" applyFont="1" applyFill="1" applyBorder="1"/>
    <xf numFmtId="0" fontId="6"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0" xfId="0" applyFont="1"/>
    <xf numFmtId="0" fontId="5" fillId="8" borderId="1" xfId="0" applyFont="1" applyFill="1" applyBorder="1" applyAlignment="1">
      <alignment horizontal="center" vertical="center" wrapText="1"/>
    </xf>
    <xf numFmtId="0" fontId="4" fillId="9" borderId="1" xfId="0" applyFont="1" applyFill="1" applyBorder="1" applyAlignment="1">
      <alignment vertical="top" wrapText="1"/>
    </xf>
    <xf numFmtId="0" fontId="4" fillId="9" borderId="1" xfId="0" applyFont="1" applyFill="1" applyBorder="1" applyAlignment="1">
      <alignment horizontal="center" vertical="center"/>
    </xf>
    <xf numFmtId="0" fontId="12" fillId="10"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2" fillId="9" borderId="1" xfId="0"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12" fillId="0" borderId="1" xfId="0" applyFont="1" applyBorder="1" applyAlignment="1">
      <alignment horizontal="center" vertical="center"/>
    </xf>
    <xf numFmtId="0" fontId="8" fillId="9"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7" borderId="1"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0" borderId="1" xfId="0" applyFont="1" applyBorder="1" applyAlignment="1">
      <alignment horizontal="center" vertical="center"/>
    </xf>
    <xf numFmtId="0" fontId="6"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6" fillId="0" borderId="1" xfId="0" applyFont="1" applyBorder="1" applyAlignment="1">
      <alignment horizontal="center" vertical="top" wrapText="1"/>
    </xf>
    <xf numFmtId="0" fontId="4" fillId="0" borderId="1" xfId="0" applyFont="1" applyBorder="1" applyAlignment="1">
      <alignment horizontal="center" vertical="top" wrapText="1"/>
    </xf>
    <xf numFmtId="0" fontId="8" fillId="5" borderId="1" xfId="0" applyFont="1" applyFill="1" applyBorder="1" applyAlignment="1">
      <alignment horizontal="center" vertical="top" wrapText="1"/>
    </xf>
    <xf numFmtId="0" fontId="6" fillId="0" borderId="0" xfId="0" applyFont="1" applyAlignment="1">
      <alignment vertical="top" wrapText="1" inden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3" fillId="9" borderId="1" xfId="0" applyFont="1" applyFill="1" applyBorder="1" applyAlignment="1">
      <alignment vertical="top" wrapText="1"/>
    </xf>
    <xf numFmtId="0" fontId="13" fillId="9" borderId="1" xfId="0" applyFont="1" applyFill="1" applyBorder="1" applyAlignment="1">
      <alignment horizontal="center" vertical="center"/>
    </xf>
    <xf numFmtId="0" fontId="13" fillId="0" borderId="1" xfId="0" applyFont="1" applyBorder="1" applyAlignment="1">
      <alignment vertical="top" wrapText="1"/>
    </xf>
    <xf numFmtId="0" fontId="14" fillId="10" borderId="1" xfId="0" applyFont="1" applyFill="1" applyBorder="1" applyAlignment="1">
      <alignment horizontal="center" vertical="center" wrapText="1"/>
    </xf>
    <xf numFmtId="0" fontId="13" fillId="0" borderId="1" xfId="0" applyFont="1" applyBorder="1" applyAlignment="1">
      <alignment horizontal="center" vertical="center"/>
    </xf>
    <xf numFmtId="0" fontId="15"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11" fillId="0" borderId="0" xfId="0" applyFont="1"/>
    <xf numFmtId="0" fontId="3" fillId="3" borderId="0" xfId="0" applyFont="1" applyFill="1" applyAlignment="1">
      <alignment horizontal="left" vertical="center" indent="1"/>
    </xf>
    <xf numFmtId="0" fontId="4" fillId="0" borderId="0" xfId="0" applyFont="1" applyAlignment="1">
      <alignment vertical="top" wrapText="1" indent="1"/>
    </xf>
    <xf numFmtId="0" fontId="5" fillId="2" borderId="1" xfId="0" applyFont="1" applyFill="1" applyBorder="1" applyAlignment="1">
      <alignment horizontal="center" vertical="center" wrapText="1"/>
    </xf>
    <xf numFmtId="0" fontId="4" fillId="0" borderId="0" xfId="0" applyFont="1" applyAlignment="1">
      <alignment vertical="top" wrapText="1"/>
    </xf>
    <xf numFmtId="0" fontId="6" fillId="0" borderId="1" xfId="0" applyFont="1" applyBorder="1" applyAlignment="1">
      <alignment horizontal="left"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9E5DE"/>
      <rgbColor rgb="FF000080"/>
      <rgbColor rgb="FFFF00FF"/>
      <rgbColor rgb="FFFFFF00"/>
      <rgbColor rgb="FF00FFFF"/>
      <rgbColor rgb="FF800080"/>
      <rgbColor rgb="FF800000"/>
      <rgbColor rgb="FF008080"/>
      <rgbColor rgb="FF0000FF"/>
      <rgbColor rgb="FF00CCFF"/>
      <rgbColor rgb="FFE8F1EC"/>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showGridLines="0" topLeftCell="A28" zoomScaleNormal="100" workbookViewId="0">
      <selection activeCell="S7" sqref="S7"/>
    </sheetView>
  </sheetViews>
  <sheetFormatPr baseColWidth="10" defaultColWidth="8.7109375" defaultRowHeight="15" x14ac:dyDescent="0.25"/>
  <cols>
    <col min="1" max="1" width="40" customWidth="1"/>
    <col min="2" max="9" width="14" customWidth="1"/>
  </cols>
  <sheetData>
    <row r="1" spans="1:9" ht="33.75" customHeight="1" x14ac:dyDescent="0.25">
      <c r="A1" s="51" t="s">
        <v>0</v>
      </c>
      <c r="B1" s="51"/>
      <c r="C1" s="51"/>
      <c r="D1" s="51"/>
      <c r="E1" s="51"/>
      <c r="F1" s="51"/>
      <c r="G1" s="51"/>
      <c r="H1" s="51"/>
      <c r="I1" s="51"/>
    </row>
    <row r="2" spans="1:9" ht="18" customHeight="1" x14ac:dyDescent="0.25">
      <c r="A2" s="52" t="s">
        <v>1</v>
      </c>
      <c r="B2" s="52"/>
      <c r="C2" s="52"/>
      <c r="D2" s="52"/>
      <c r="E2" s="52"/>
      <c r="F2" s="52"/>
      <c r="G2" s="52"/>
      <c r="H2" s="52"/>
      <c r="I2" s="52"/>
    </row>
    <row r="4" spans="1:9" ht="21.75" customHeight="1" x14ac:dyDescent="0.25">
      <c r="A4" s="54" t="s">
        <v>2</v>
      </c>
      <c r="B4" s="54"/>
      <c r="C4" s="54"/>
      <c r="D4" s="54"/>
      <c r="E4" s="54"/>
      <c r="F4" s="54"/>
      <c r="G4" s="54"/>
      <c r="H4" s="54"/>
      <c r="I4" s="54"/>
    </row>
    <row r="5" spans="1:9" ht="25.5" customHeight="1" x14ac:dyDescent="0.25">
      <c r="A5" s="55" t="s">
        <v>3</v>
      </c>
      <c r="B5" s="55"/>
      <c r="C5" s="55"/>
      <c r="D5" s="55"/>
      <c r="E5" s="55"/>
      <c r="F5" s="55"/>
      <c r="G5" s="55"/>
      <c r="H5" s="55"/>
      <c r="I5" s="55"/>
    </row>
    <row r="6" spans="1:9" ht="25.5" customHeight="1" x14ac:dyDescent="0.25">
      <c r="A6" s="55" t="s">
        <v>4</v>
      </c>
      <c r="B6" s="55"/>
      <c r="C6" s="55"/>
      <c r="D6" s="55"/>
      <c r="E6" s="55"/>
      <c r="F6" s="55"/>
      <c r="G6" s="55"/>
      <c r="H6" s="55"/>
      <c r="I6" s="55"/>
    </row>
    <row r="8" spans="1:9" ht="21.75" customHeight="1" x14ac:dyDescent="0.25">
      <c r="A8" s="54" t="s">
        <v>5</v>
      </c>
      <c r="B8" s="54"/>
      <c r="C8" s="54"/>
      <c r="D8" s="54"/>
      <c r="E8" s="54"/>
      <c r="F8" s="54"/>
      <c r="G8" s="54"/>
      <c r="H8" s="54"/>
      <c r="I8" s="54"/>
    </row>
    <row r="9" spans="1:9" ht="21.75" customHeight="1" x14ac:dyDescent="0.25">
      <c r="A9" s="2" t="s">
        <v>6</v>
      </c>
      <c r="B9" s="2" t="s">
        <v>7</v>
      </c>
      <c r="C9" s="2" t="s">
        <v>8</v>
      </c>
      <c r="D9" s="2" t="s">
        <v>9</v>
      </c>
      <c r="E9" s="2" t="s">
        <v>10</v>
      </c>
      <c r="F9" s="2" t="s">
        <v>11</v>
      </c>
      <c r="G9" s="2" t="s">
        <v>12</v>
      </c>
      <c r="H9" s="2" t="s">
        <v>13</v>
      </c>
      <c r="I9" s="2" t="s">
        <v>14</v>
      </c>
    </row>
    <row r="10" spans="1:9" x14ac:dyDescent="0.25">
      <c r="A10" s="3" t="s">
        <v>15</v>
      </c>
      <c r="B10" s="4">
        <f>COUNTA(Industrial!C5:C62)</f>
        <v>58</v>
      </c>
      <c r="C10" s="4">
        <f>COUNTA(Sistemas!C5:C68)</f>
        <v>64</v>
      </c>
      <c r="D10" s="4">
        <f>COUNTA(Multimedia!C5:C62)</f>
        <v>58</v>
      </c>
      <c r="E10" s="4">
        <f>COUNTA(Agroindustrial!C5:C62)</f>
        <v>58</v>
      </c>
      <c r="F10" s="4">
        <f>COUNTA(Biomédica!C5:C65)</f>
        <v>61</v>
      </c>
      <c r="G10" s="4">
        <f>COUNTA(Electrónica!C5:C62)</f>
        <v>58</v>
      </c>
      <c r="H10" s="4">
        <f>COUNTA(Biológica!C5:C59)</f>
        <v>55</v>
      </c>
      <c r="I10" s="5">
        <f>SUM(B10:H10)</f>
        <v>412</v>
      </c>
    </row>
    <row r="11" spans="1:9" x14ac:dyDescent="0.25">
      <c r="A11" s="3" t="s">
        <v>16</v>
      </c>
      <c r="B11" s="4">
        <f>SUM(Industrial!D5:D62)</f>
        <v>144</v>
      </c>
      <c r="C11" s="4">
        <f>SUM(Sistemas!D5:D68)</f>
        <v>160</v>
      </c>
      <c r="D11" s="4">
        <f>SUM(Multimedia!D5:D62)</f>
        <v>142</v>
      </c>
      <c r="E11" s="4">
        <f>SUM(Agroindustrial!D5:D62)</f>
        <v>144</v>
      </c>
      <c r="F11" s="4">
        <f>SUM(Biomédica!D5:D65)</f>
        <v>156</v>
      </c>
      <c r="G11" s="4">
        <f>SUM(Electrónica!D5:D62)</f>
        <v>143</v>
      </c>
      <c r="H11" s="4">
        <f>SUM(Biológica!D5:D59)</f>
        <v>144</v>
      </c>
      <c r="I11" s="5">
        <f>SUM(B11:H11)</f>
        <v>1033</v>
      </c>
    </row>
    <row r="12" spans="1:9" x14ac:dyDescent="0.25">
      <c r="A12" s="3" t="s">
        <v>17</v>
      </c>
      <c r="B12" s="4">
        <v>8</v>
      </c>
      <c r="C12" s="4">
        <v>9</v>
      </c>
      <c r="D12" s="4">
        <v>8</v>
      </c>
      <c r="E12" s="4">
        <v>8</v>
      </c>
      <c r="F12" s="4">
        <v>9</v>
      </c>
      <c r="G12" s="4">
        <v>8</v>
      </c>
      <c r="H12" s="4">
        <v>8</v>
      </c>
      <c r="I12" s="5"/>
    </row>
    <row r="14" spans="1:9" ht="21.75" customHeight="1" x14ac:dyDescent="0.25">
      <c r="A14" s="54" t="s">
        <v>18</v>
      </c>
      <c r="B14" s="54"/>
      <c r="C14" s="54"/>
      <c r="D14" s="54"/>
      <c r="E14" s="54"/>
      <c r="F14" s="54"/>
      <c r="G14" s="54"/>
      <c r="H14" s="54"/>
      <c r="I14" s="54"/>
    </row>
    <row r="15" spans="1:9" ht="21.75" customHeight="1" x14ac:dyDescent="0.25">
      <c r="A15" s="2" t="s">
        <v>19</v>
      </c>
      <c r="B15" s="2" t="s">
        <v>7</v>
      </c>
      <c r="C15" s="2" t="s">
        <v>8</v>
      </c>
      <c r="D15" s="2" t="s">
        <v>9</v>
      </c>
      <c r="E15" s="2" t="s">
        <v>10</v>
      </c>
      <c r="F15" s="2" t="s">
        <v>11</v>
      </c>
      <c r="G15" s="2" t="s">
        <v>12</v>
      </c>
      <c r="H15" s="2" t="s">
        <v>13</v>
      </c>
      <c r="I15" s="2" t="s">
        <v>14</v>
      </c>
    </row>
    <row r="16" spans="1:9" x14ac:dyDescent="0.25">
      <c r="A16" s="6" t="s">
        <v>20</v>
      </c>
      <c r="B16" s="4">
        <f>COUNTIF(Industrial!O5:O62,"Encaje perfecto")</f>
        <v>2</v>
      </c>
      <c r="C16" s="4">
        <f>COUNTIF(Sistemas!O5:O68,"Encaje perfecto")</f>
        <v>1</v>
      </c>
      <c r="D16" s="4">
        <f>COUNTIF(Multimedia!O5:O62,"Encaje perfecto")</f>
        <v>0</v>
      </c>
      <c r="E16" s="4">
        <f>COUNTIF(Agroindustrial!O5:O62,"Encaje perfecto")</f>
        <v>1</v>
      </c>
      <c r="F16" s="4">
        <f>COUNTIF(Biomédica!O5:O65,"Encaje perfecto")</f>
        <v>0</v>
      </c>
      <c r="G16" s="4">
        <f>COUNTIF(Electrónica!O5:O62,"Encaje perfecto")</f>
        <v>0</v>
      </c>
      <c r="H16" s="4">
        <f>COUNTIF(Biológica!O5:O59,"Encaje perfecto")</f>
        <v>0</v>
      </c>
      <c r="I16" s="5">
        <f>SUM(B16:H16)</f>
        <v>4</v>
      </c>
    </row>
    <row r="17" spans="1:9" x14ac:dyDescent="0.25">
      <c r="A17" s="7" t="s">
        <v>21</v>
      </c>
      <c r="B17" s="4">
        <f>COUNTIF(Industrial!O5:O62,"Encaje parcial")</f>
        <v>2</v>
      </c>
      <c r="C17" s="4">
        <f>COUNTIF(Sistemas!O5:O68,"Encaje parcial")</f>
        <v>0</v>
      </c>
      <c r="D17" s="4">
        <f>COUNTIF(Multimedia!O5:O62,"Encaje parcial")</f>
        <v>0</v>
      </c>
      <c r="E17" s="4">
        <f>COUNTIF(Agroindustrial!O5:O62,"Encaje parcial")</f>
        <v>0</v>
      </c>
      <c r="F17" s="4">
        <f>COUNTIF(Biomédica!O5:O65,"Encaje parcial")</f>
        <v>0</v>
      </c>
      <c r="G17" s="4">
        <f>COUNTIF(Electrónica!O5:O62,"Encaje parcial")</f>
        <v>2</v>
      </c>
      <c r="H17" s="4">
        <f>COUNTIF(Biológica!O5:O59,"Encaje parcial")</f>
        <v>1</v>
      </c>
      <c r="I17" s="5">
        <f>SUM(B17:H17)</f>
        <v>5</v>
      </c>
    </row>
    <row r="18" spans="1:9" x14ac:dyDescent="0.25">
      <c r="A18" s="8" t="s">
        <v>22</v>
      </c>
      <c r="B18" s="4">
        <f>COUNTIF(Industrial!O5:O62,"No encaja")</f>
        <v>47</v>
      </c>
      <c r="C18" s="4">
        <f>COUNTIF(Sistemas!O5:O68,"No encaja")</f>
        <v>55</v>
      </c>
      <c r="D18" s="4">
        <f>COUNTIF(Multimedia!O5:O62,"No encaja")</f>
        <v>55</v>
      </c>
      <c r="E18" s="4">
        <f>COUNTIF(Agroindustrial!O5:O62,"No encaja")</f>
        <v>52</v>
      </c>
      <c r="F18" s="4">
        <f>COUNTIF(Biomédica!O5:O65,"No encaja")</f>
        <v>54</v>
      </c>
      <c r="G18" s="4">
        <f>COUNTIF(Electrónica!O5:O62,"No encaja")</f>
        <v>52</v>
      </c>
      <c r="H18" s="4">
        <f>COUNTIF(Biológica!O5:O59,"No encaja")</f>
        <v>50</v>
      </c>
      <c r="I18" s="5">
        <f>SUM(B18:H18)</f>
        <v>365</v>
      </c>
    </row>
    <row r="19" spans="1:9" x14ac:dyDescent="0.25">
      <c r="A19" s="9" t="s">
        <v>23</v>
      </c>
      <c r="B19" s="4">
        <f>COUNTIF(Industrial!O5:O62,"Por definir")</f>
        <v>7</v>
      </c>
      <c r="C19" s="4">
        <f>COUNTIF(Sistemas!O5:O68,"Por definir")</f>
        <v>8</v>
      </c>
      <c r="D19" s="4">
        <f>COUNTIF(Multimedia!O5:O62,"Por definir")</f>
        <v>3</v>
      </c>
      <c r="E19" s="4">
        <f>COUNTIF(Agroindustrial!O5:O62,"Por definir")</f>
        <v>5</v>
      </c>
      <c r="F19" s="4">
        <f>COUNTIF(Biomédica!O5:O65,"Por definir")</f>
        <v>7</v>
      </c>
      <c r="G19" s="4">
        <f>COUNTIF(Electrónica!O5:O62,"Por definir")</f>
        <v>4</v>
      </c>
      <c r="H19" s="4">
        <f>COUNTIF(Biológica!O5:O59,"Por definir")</f>
        <v>4</v>
      </c>
      <c r="I19" s="5">
        <f>SUM(B19:H19)</f>
        <v>38</v>
      </c>
    </row>
    <row r="21" spans="1:9" ht="21.75" customHeight="1" x14ac:dyDescent="0.25">
      <c r="A21" s="54" t="s">
        <v>24</v>
      </c>
      <c r="B21" s="54"/>
      <c r="C21" s="54"/>
      <c r="D21" s="54"/>
      <c r="E21" s="54"/>
      <c r="F21" s="54"/>
      <c r="G21" s="54"/>
      <c r="H21" s="54"/>
      <c r="I21" s="54"/>
    </row>
    <row r="22" spans="1:9" ht="21.75" customHeight="1" x14ac:dyDescent="0.25">
      <c r="A22" s="2" t="s">
        <v>25</v>
      </c>
      <c r="B22" s="2" t="s">
        <v>7</v>
      </c>
      <c r="C22" s="2" t="s">
        <v>8</v>
      </c>
      <c r="D22" s="2" t="s">
        <v>9</v>
      </c>
      <c r="E22" s="2" t="s">
        <v>10</v>
      </c>
      <c r="F22" s="2" t="s">
        <v>11</v>
      </c>
      <c r="G22" s="2" t="s">
        <v>12</v>
      </c>
      <c r="H22" s="2" t="s">
        <v>13</v>
      </c>
      <c r="I22" s="2" t="s">
        <v>14</v>
      </c>
    </row>
    <row r="23" spans="1:9" x14ac:dyDescent="0.25">
      <c r="A23" s="10" t="s">
        <v>26</v>
      </c>
      <c r="B23" s="4">
        <f>COUNTIF(Industrial!J5:J62,"Alta")+COUNTIF(Industrial!J5:J62,"Media")</f>
        <v>0</v>
      </c>
      <c r="C23" s="4">
        <f>COUNTIF(Sistemas!J5:J68,"Alta")+COUNTIF(Sistemas!J5:J68,"Media")</f>
        <v>0</v>
      </c>
      <c r="D23" s="4">
        <f>COUNTIF(Multimedia!J5:J62,"Alta")+COUNTIF(Multimedia!J5:J62,"Media")</f>
        <v>0</v>
      </c>
      <c r="E23" s="4">
        <f>COUNTIF(Agroindustrial!J5:J62,"Alta")+COUNTIF(Agroindustrial!J5:J62,"Media")</f>
        <v>0</v>
      </c>
      <c r="F23" s="4">
        <f>COUNTIF(Biomédica!J5:J65,"Alta")+COUNTIF(Biomédica!J5:J65,"Media")</f>
        <v>0</v>
      </c>
      <c r="G23" s="4">
        <f>COUNTIF(Electrónica!J5:J62,"Alta")+COUNTIF(Electrónica!J5:J62,"Media")</f>
        <v>0</v>
      </c>
      <c r="H23" s="4">
        <f>COUNTIF(Biológica!J5:J59,"Alta")+COUNTIF(Biológica!J5:J59,"Media")</f>
        <v>0</v>
      </c>
      <c r="I23" s="5">
        <f>SUM(B23:H23)</f>
        <v>0</v>
      </c>
    </row>
    <row r="24" spans="1:9" x14ac:dyDescent="0.25">
      <c r="A24" s="10" t="s">
        <v>27</v>
      </c>
      <c r="B24" s="4">
        <f>COUNTIF(Industrial!K5:K62,"Alta")+COUNTIF(Industrial!K5:K62,"Media")</f>
        <v>1</v>
      </c>
      <c r="C24" s="4">
        <f>COUNTIF(Sistemas!K5:K68,"Alta")+COUNTIF(Sistemas!K5:K68,"Media")</f>
        <v>1</v>
      </c>
      <c r="D24" s="4">
        <f>COUNTIF(Multimedia!K5:K62,"Alta")+COUNTIF(Multimedia!K5:K62,"Media")</f>
        <v>0</v>
      </c>
      <c r="E24" s="4">
        <f>COUNTIF(Agroindustrial!K5:K62,"Alta")+COUNTIF(Agroindustrial!K5:K62,"Media")</f>
        <v>0</v>
      </c>
      <c r="F24" s="4">
        <f>COUNTIF(Biomédica!K5:K65,"Alta")+COUNTIF(Biomédica!K5:K65,"Media")</f>
        <v>0</v>
      </c>
      <c r="G24" s="4">
        <f>COUNTIF(Electrónica!K5:K62,"Alta")+COUNTIF(Electrónica!K5:K62,"Media")</f>
        <v>1</v>
      </c>
      <c r="H24" s="4">
        <f>COUNTIF(Biológica!K5:K59,"Alta")+COUNTIF(Biológica!K5:K59,"Media")</f>
        <v>0</v>
      </c>
      <c r="I24" s="5">
        <f>SUM(B24:H24)</f>
        <v>3</v>
      </c>
    </row>
    <row r="25" spans="1:9" x14ac:dyDescent="0.25">
      <c r="A25" s="10" t="s">
        <v>28</v>
      </c>
      <c r="B25" s="4">
        <f>COUNTIF(Industrial!L5:L62,"Alta")+COUNTIF(Industrial!L5:L62,"Media")</f>
        <v>1</v>
      </c>
      <c r="C25" s="4">
        <f>COUNTIF(Sistemas!L5:L68,"Alta")+COUNTIF(Sistemas!L5:L68,"Media")</f>
        <v>1</v>
      </c>
      <c r="D25" s="4">
        <f>COUNTIF(Multimedia!L5:L62,"Alta")+COUNTIF(Multimedia!L5:L62,"Media")</f>
        <v>1</v>
      </c>
      <c r="E25" s="4">
        <f>COUNTIF(Agroindustrial!L5:L62,"Alta")+COUNTIF(Agroindustrial!L5:L62,"Media")</f>
        <v>1</v>
      </c>
      <c r="F25" s="4">
        <f>COUNTIF(Biomédica!L5:L65,"Alta")+COUNTIF(Biomédica!L5:L65,"Media")</f>
        <v>1</v>
      </c>
      <c r="G25" s="4">
        <f>COUNTIF(Electrónica!L5:L62,"Alta")+COUNTIF(Electrónica!L5:L62,"Media")</f>
        <v>0</v>
      </c>
      <c r="H25" s="4">
        <f>COUNTIF(Biológica!L5:L59,"Alta")+COUNTIF(Biológica!L5:L59,"Media")</f>
        <v>1</v>
      </c>
      <c r="I25" s="5">
        <f>SUM(B25:H25)</f>
        <v>6</v>
      </c>
    </row>
    <row r="26" spans="1:9" x14ac:dyDescent="0.25">
      <c r="A26" s="10" t="s">
        <v>29</v>
      </c>
      <c r="B26" s="4">
        <f>COUNTIF(Industrial!P5:P62,"Alta")+COUNTIF(Industrial!P5:P62,"Media")</f>
        <v>21</v>
      </c>
      <c r="C26" s="4">
        <f>COUNTIF(Sistemas!P5:P68,"Alta")+COUNTIF(Sistemas!P5:P68,"Media")</f>
        <v>18</v>
      </c>
      <c r="D26" s="4">
        <f>COUNTIF(Multimedia!P5:P62,"Alta")+COUNTIF(Multimedia!P5:P62,"Media")</f>
        <v>15</v>
      </c>
      <c r="E26" s="4">
        <f>COUNTIF(Agroindustrial!P5:P62,"Alta")+COUNTIF(Agroindustrial!P5:P62,"Media")</f>
        <v>23</v>
      </c>
      <c r="F26" s="4">
        <f>COUNTIF(Biomédica!P5:P65,"Alta")+COUNTIF(Biomédica!P5:P65,"Media")</f>
        <v>16</v>
      </c>
      <c r="G26" s="4">
        <f>COUNTIF(Electrónica!P5:P62,"Alta")+COUNTIF(Electrónica!P5:P62,"Media")</f>
        <v>10</v>
      </c>
      <c r="H26" s="4">
        <f>COUNTIF(Biológica!P5:P59,"Alta")+COUNTIF(Biológica!P5:P59,"Media")</f>
        <v>26</v>
      </c>
      <c r="I26" s="5">
        <f>SUM(B26:H26)</f>
        <v>129</v>
      </c>
    </row>
    <row r="27" spans="1:9" x14ac:dyDescent="0.25">
      <c r="A27" s="53" t="s">
        <v>30</v>
      </c>
      <c r="B27" s="53"/>
      <c r="C27" s="53"/>
      <c r="D27" s="53"/>
      <c r="E27" s="53"/>
      <c r="F27" s="53"/>
      <c r="G27" s="53"/>
      <c r="H27" s="53"/>
      <c r="I27" s="53"/>
    </row>
    <row r="29" spans="1:9" ht="21.75" customHeight="1" x14ac:dyDescent="0.25">
      <c r="A29" s="54" t="s">
        <v>31</v>
      </c>
      <c r="B29" s="54"/>
      <c r="C29" s="54"/>
      <c r="D29" s="54"/>
      <c r="E29" s="54"/>
      <c r="F29" s="54"/>
      <c r="G29" s="54"/>
      <c r="H29" s="54"/>
      <c r="I29" s="54"/>
    </row>
    <row r="30" spans="1:9" ht="25.5" customHeight="1" x14ac:dyDescent="0.25">
      <c r="A30" s="55" t="s">
        <v>32</v>
      </c>
      <c r="B30" s="55"/>
      <c r="C30" s="55"/>
      <c r="D30" s="55"/>
      <c r="E30" s="55"/>
      <c r="F30" s="55"/>
      <c r="G30" s="55"/>
      <c r="H30" s="55"/>
      <c r="I30" s="55"/>
    </row>
    <row r="31" spans="1:9" ht="25.5" customHeight="1" x14ac:dyDescent="0.25">
      <c r="A31" s="55" t="s">
        <v>33</v>
      </c>
      <c r="B31" s="55"/>
      <c r="C31" s="55"/>
      <c r="D31" s="55"/>
      <c r="E31" s="55"/>
      <c r="F31" s="55"/>
      <c r="G31" s="55"/>
      <c r="H31" s="55"/>
      <c r="I31" s="55"/>
    </row>
    <row r="32" spans="1:9" ht="25.5" customHeight="1" x14ac:dyDescent="0.25">
      <c r="A32" s="55" t="s">
        <v>34</v>
      </c>
      <c r="B32" s="55"/>
      <c r="C32" s="55"/>
      <c r="D32" s="55"/>
      <c r="E32" s="55"/>
      <c r="F32" s="55"/>
      <c r="G32" s="55"/>
      <c r="H32" s="55"/>
      <c r="I32" s="55"/>
    </row>
    <row r="33" spans="1:9" ht="25.5" customHeight="1" x14ac:dyDescent="0.25">
      <c r="A33" s="55" t="s">
        <v>35</v>
      </c>
      <c r="B33" s="55"/>
      <c r="C33" s="55"/>
      <c r="D33" s="55"/>
      <c r="E33" s="55"/>
      <c r="F33" s="55"/>
      <c r="G33" s="55"/>
      <c r="H33" s="55"/>
      <c r="I33" s="55"/>
    </row>
    <row r="34" spans="1:9" ht="25.5" customHeight="1" x14ac:dyDescent="0.25">
      <c r="A34" s="55" t="s">
        <v>36</v>
      </c>
      <c r="B34" s="55"/>
      <c r="C34" s="55"/>
      <c r="D34" s="55"/>
      <c r="E34" s="55"/>
      <c r="F34" s="55"/>
      <c r="G34" s="55"/>
      <c r="H34" s="55"/>
      <c r="I34" s="55"/>
    </row>
    <row r="35" spans="1:9" ht="25.5" customHeight="1" x14ac:dyDescent="0.25">
      <c r="A35" s="55" t="s">
        <v>37</v>
      </c>
      <c r="B35" s="55"/>
      <c r="C35" s="55"/>
      <c r="D35" s="55"/>
      <c r="E35" s="55"/>
      <c r="F35" s="55"/>
      <c r="G35" s="55"/>
      <c r="H35" s="55"/>
      <c r="I35" s="55"/>
    </row>
    <row r="36" spans="1:9" ht="25.5" customHeight="1" x14ac:dyDescent="0.25">
      <c r="A36" s="55" t="s">
        <v>38</v>
      </c>
      <c r="B36" s="55"/>
      <c r="C36" s="55"/>
      <c r="D36" s="55"/>
      <c r="E36" s="55"/>
      <c r="F36" s="55"/>
      <c r="G36" s="55"/>
      <c r="H36" s="55"/>
      <c r="I36" s="55"/>
    </row>
    <row r="37" spans="1:9" ht="25.5" customHeight="1" x14ac:dyDescent="0.25">
      <c r="A37" s="55" t="s">
        <v>39</v>
      </c>
      <c r="B37" s="55"/>
      <c r="C37" s="55"/>
      <c r="D37" s="55"/>
      <c r="E37" s="55"/>
      <c r="F37" s="55"/>
      <c r="G37" s="55"/>
      <c r="H37" s="55"/>
      <c r="I37" s="55"/>
    </row>
    <row r="38" spans="1:9" ht="25.5" customHeight="1" x14ac:dyDescent="0.25">
      <c r="A38" s="55" t="s">
        <v>40</v>
      </c>
      <c r="B38" s="55"/>
      <c r="C38" s="55"/>
      <c r="D38" s="55"/>
      <c r="E38" s="55"/>
      <c r="F38" s="55"/>
      <c r="G38" s="55"/>
      <c r="H38" s="55"/>
      <c r="I38" s="55"/>
    </row>
    <row r="39" spans="1:9" ht="25.5" customHeight="1" x14ac:dyDescent="0.25">
      <c r="A39" s="55" t="s">
        <v>41</v>
      </c>
      <c r="B39" s="55"/>
      <c r="C39" s="55"/>
      <c r="D39" s="55"/>
      <c r="E39" s="55"/>
      <c r="F39" s="55"/>
      <c r="G39" s="55"/>
      <c r="H39" s="55"/>
      <c r="I39" s="55"/>
    </row>
    <row r="40" spans="1:9" ht="25.5" customHeight="1" x14ac:dyDescent="0.25">
      <c r="A40" s="55" t="s">
        <v>42</v>
      </c>
      <c r="B40" s="55"/>
      <c r="C40" s="55"/>
      <c r="D40" s="55"/>
      <c r="E40" s="55"/>
      <c r="F40" s="55"/>
      <c r="G40" s="55"/>
      <c r="H40" s="55"/>
      <c r="I40" s="55"/>
    </row>
    <row r="41" spans="1:9" ht="25.5" customHeight="1" x14ac:dyDescent="0.25">
      <c r="A41" s="55" t="s">
        <v>43</v>
      </c>
      <c r="B41" s="55"/>
      <c r="C41" s="55"/>
      <c r="D41" s="55"/>
      <c r="E41" s="55"/>
      <c r="F41" s="55"/>
      <c r="G41" s="55"/>
      <c r="H41" s="55"/>
      <c r="I41" s="55"/>
    </row>
    <row r="43" spans="1:9" ht="21.75" customHeight="1" x14ac:dyDescent="0.25">
      <c r="A43" s="54" t="s">
        <v>44</v>
      </c>
      <c r="B43" s="54"/>
      <c r="C43" s="54"/>
      <c r="D43" s="54"/>
      <c r="E43" s="54"/>
      <c r="F43" s="54"/>
      <c r="G43" s="54"/>
      <c r="H43" s="54"/>
      <c r="I43" s="54"/>
    </row>
    <row r="44" spans="1:9" ht="21.75" customHeight="1" x14ac:dyDescent="0.25">
      <c r="A44" s="2" t="s">
        <v>45</v>
      </c>
      <c r="B44" s="2" t="s">
        <v>46</v>
      </c>
      <c r="C44" s="2" t="s">
        <v>47</v>
      </c>
      <c r="D44" s="56" t="s">
        <v>48</v>
      </c>
      <c r="E44" s="56"/>
      <c r="F44" s="2" t="s">
        <v>49</v>
      </c>
      <c r="G44" s="2" t="s">
        <v>50</v>
      </c>
    </row>
    <row r="45" spans="1:9" ht="63.75" x14ac:dyDescent="0.25">
      <c r="A45" s="11">
        <v>1</v>
      </c>
      <c r="B45" s="12" t="s">
        <v>8</v>
      </c>
      <c r="C45" s="11" t="s">
        <v>51</v>
      </c>
      <c r="D45" s="12" t="s">
        <v>52</v>
      </c>
      <c r="E45" s="12" t="s">
        <v>53</v>
      </c>
      <c r="F45" s="13" t="s">
        <v>20</v>
      </c>
      <c r="G45" s="13" t="s">
        <v>54</v>
      </c>
    </row>
    <row r="46" spans="1:9" ht="38.25" x14ac:dyDescent="0.25">
      <c r="A46" s="11">
        <v>2</v>
      </c>
      <c r="B46" s="12" t="s">
        <v>55</v>
      </c>
      <c r="C46" s="11" t="s">
        <v>56</v>
      </c>
      <c r="D46" s="12" t="s">
        <v>57</v>
      </c>
      <c r="E46" s="12" t="s">
        <v>28</v>
      </c>
      <c r="F46" s="14" t="s">
        <v>21</v>
      </c>
      <c r="G46" s="13" t="s">
        <v>54</v>
      </c>
    </row>
    <row r="47" spans="1:9" ht="63.75" x14ac:dyDescent="0.25">
      <c r="A47" s="11">
        <v>3</v>
      </c>
      <c r="B47" s="12" t="s">
        <v>7</v>
      </c>
      <c r="C47" s="11" t="s">
        <v>58</v>
      </c>
      <c r="D47" s="12" t="s">
        <v>59</v>
      </c>
      <c r="E47" s="12" t="s">
        <v>60</v>
      </c>
      <c r="F47" s="13" t="s">
        <v>20</v>
      </c>
      <c r="G47" s="13" t="s">
        <v>54</v>
      </c>
    </row>
    <row r="48" spans="1:9" ht="63.75" x14ac:dyDescent="0.25">
      <c r="A48" s="11">
        <v>4</v>
      </c>
      <c r="B48" s="12" t="s">
        <v>61</v>
      </c>
      <c r="C48" s="11" t="s">
        <v>62</v>
      </c>
      <c r="D48" s="12" t="s">
        <v>63</v>
      </c>
      <c r="E48" s="12" t="s">
        <v>64</v>
      </c>
      <c r="F48" s="13" t="s">
        <v>20</v>
      </c>
      <c r="G48" s="13" t="s">
        <v>54</v>
      </c>
    </row>
    <row r="49" spans="1:9" ht="51" x14ac:dyDescent="0.25">
      <c r="A49" s="11">
        <v>5</v>
      </c>
      <c r="B49" s="12" t="s">
        <v>65</v>
      </c>
      <c r="C49" s="11" t="s">
        <v>58</v>
      </c>
      <c r="D49" s="12" t="s">
        <v>66</v>
      </c>
      <c r="E49" s="12" t="s">
        <v>67</v>
      </c>
      <c r="F49" s="13" t="s">
        <v>20</v>
      </c>
      <c r="G49" s="13" t="s">
        <v>54</v>
      </c>
    </row>
    <row r="50" spans="1:9" ht="89.25" x14ac:dyDescent="0.25">
      <c r="A50" s="11">
        <v>6</v>
      </c>
      <c r="B50" s="12" t="s">
        <v>8</v>
      </c>
      <c r="C50" s="11" t="s">
        <v>68</v>
      </c>
      <c r="D50" s="12" t="s">
        <v>69</v>
      </c>
      <c r="E50" s="12" t="s">
        <v>70</v>
      </c>
      <c r="F50" s="13" t="s">
        <v>20</v>
      </c>
      <c r="G50" s="13" t="s">
        <v>54</v>
      </c>
    </row>
    <row r="51" spans="1:9" ht="76.5" x14ac:dyDescent="0.25">
      <c r="A51" s="11">
        <v>7</v>
      </c>
      <c r="B51" s="12" t="s">
        <v>7</v>
      </c>
      <c r="C51" s="11" t="s">
        <v>71</v>
      </c>
      <c r="D51" s="12" t="s">
        <v>72</v>
      </c>
      <c r="E51" s="12" t="s">
        <v>73</v>
      </c>
      <c r="F51" s="13" t="s">
        <v>20</v>
      </c>
      <c r="G51" s="13" t="s">
        <v>54</v>
      </c>
    </row>
    <row r="52" spans="1:9" ht="89.25" x14ac:dyDescent="0.25">
      <c r="A52" s="11">
        <v>8</v>
      </c>
      <c r="B52" s="12" t="s">
        <v>11</v>
      </c>
      <c r="C52" s="11" t="s">
        <v>51</v>
      </c>
      <c r="D52" s="12" t="s">
        <v>74</v>
      </c>
      <c r="E52" s="12" t="s">
        <v>70</v>
      </c>
      <c r="F52" s="13" t="s">
        <v>20</v>
      </c>
      <c r="G52" s="13" t="s">
        <v>54</v>
      </c>
    </row>
    <row r="53" spans="1:9" ht="76.5" x14ac:dyDescent="0.25">
      <c r="A53" s="11">
        <v>9</v>
      </c>
      <c r="B53" s="12" t="s">
        <v>12</v>
      </c>
      <c r="C53" s="11" t="s">
        <v>51</v>
      </c>
      <c r="D53" s="12" t="s">
        <v>75</v>
      </c>
      <c r="E53" s="12" t="s">
        <v>73</v>
      </c>
      <c r="F53" s="13" t="s">
        <v>20</v>
      </c>
      <c r="G53" s="13" t="s">
        <v>54</v>
      </c>
    </row>
    <row r="54" spans="1:9" ht="63.75" x14ac:dyDescent="0.25">
      <c r="A54" s="11">
        <v>10</v>
      </c>
      <c r="B54" s="12" t="s">
        <v>8</v>
      </c>
      <c r="C54" s="11" t="s">
        <v>51</v>
      </c>
      <c r="D54" s="12" t="s">
        <v>76</v>
      </c>
      <c r="E54" s="12" t="s">
        <v>77</v>
      </c>
      <c r="F54" s="14" t="s">
        <v>21</v>
      </c>
      <c r="G54" s="13" t="s">
        <v>54</v>
      </c>
    </row>
    <row r="55" spans="1:9" ht="63.75" x14ac:dyDescent="0.25">
      <c r="A55" s="11">
        <v>11</v>
      </c>
      <c r="B55" s="12" t="s">
        <v>7</v>
      </c>
      <c r="C55" s="11" t="s">
        <v>62</v>
      </c>
      <c r="D55" s="12" t="s">
        <v>78</v>
      </c>
      <c r="E55" s="12" t="s">
        <v>79</v>
      </c>
      <c r="F55" s="13" t="s">
        <v>20</v>
      </c>
      <c r="G55" s="13" t="s">
        <v>54</v>
      </c>
    </row>
    <row r="56" spans="1:9" ht="63.75" x14ac:dyDescent="0.25">
      <c r="A56" s="11">
        <v>12</v>
      </c>
      <c r="B56" s="12" t="s">
        <v>10</v>
      </c>
      <c r="C56" s="11" t="s">
        <v>58</v>
      </c>
      <c r="D56" s="12" t="s">
        <v>80</v>
      </c>
      <c r="E56" s="12" t="s">
        <v>79</v>
      </c>
      <c r="F56" s="13" t="s">
        <v>20</v>
      </c>
      <c r="G56" s="13" t="s">
        <v>54</v>
      </c>
    </row>
    <row r="57" spans="1:9" ht="76.5" x14ac:dyDescent="0.25">
      <c r="A57" s="11">
        <v>13</v>
      </c>
      <c r="B57" s="12" t="s">
        <v>12</v>
      </c>
      <c r="C57" s="11" t="s">
        <v>71</v>
      </c>
      <c r="D57" s="12" t="s">
        <v>81</v>
      </c>
      <c r="E57" s="12" t="s">
        <v>73</v>
      </c>
      <c r="F57" s="13" t="s">
        <v>20</v>
      </c>
      <c r="G57" s="13" t="s">
        <v>54</v>
      </c>
    </row>
    <row r="58" spans="1:9" ht="63.75" x14ac:dyDescent="0.25">
      <c r="A58" s="11">
        <v>14</v>
      </c>
      <c r="B58" s="12" t="s">
        <v>8</v>
      </c>
      <c r="C58" s="11" t="s">
        <v>82</v>
      </c>
      <c r="D58" s="12" t="s">
        <v>83</v>
      </c>
      <c r="E58" s="12" t="s">
        <v>77</v>
      </c>
      <c r="F58" s="14" t="s">
        <v>21</v>
      </c>
      <c r="G58" s="13" t="s">
        <v>54</v>
      </c>
    </row>
    <row r="59" spans="1:9" ht="25.5" x14ac:dyDescent="0.25">
      <c r="A59" s="11">
        <v>15</v>
      </c>
      <c r="B59" s="12" t="s">
        <v>9</v>
      </c>
      <c r="C59" s="11" t="s">
        <v>51</v>
      </c>
      <c r="D59" s="12" t="s">
        <v>84</v>
      </c>
      <c r="E59" s="12" t="s">
        <v>28</v>
      </c>
      <c r="F59" s="14" t="s">
        <v>21</v>
      </c>
      <c r="G59" s="13" t="s">
        <v>54</v>
      </c>
    </row>
    <row r="60" spans="1:9" x14ac:dyDescent="0.25">
      <c r="A60" s="53" t="s">
        <v>85</v>
      </c>
      <c r="B60" s="53"/>
      <c r="C60" s="53"/>
      <c r="D60" s="53"/>
      <c r="E60" s="53"/>
      <c r="F60" s="53"/>
      <c r="G60" s="53"/>
      <c r="H60" s="53"/>
      <c r="I60" s="53"/>
    </row>
    <row r="62" spans="1:9" ht="21.75" customHeight="1" x14ac:dyDescent="0.25">
      <c r="A62" s="54" t="s">
        <v>86</v>
      </c>
      <c r="B62" s="54"/>
      <c r="C62" s="54"/>
      <c r="D62" s="54"/>
      <c r="E62" s="54"/>
      <c r="F62" s="54"/>
      <c r="G62" s="54"/>
      <c r="H62" s="54"/>
      <c r="I62" s="54"/>
    </row>
    <row r="63" spans="1:9" ht="25.5" customHeight="1" x14ac:dyDescent="0.25">
      <c r="A63" s="15" t="s">
        <v>87</v>
      </c>
      <c r="B63" s="57" t="s">
        <v>88</v>
      </c>
      <c r="C63" s="57"/>
      <c r="D63" s="57"/>
      <c r="E63" s="57"/>
      <c r="F63" s="57"/>
      <c r="G63" s="57"/>
      <c r="H63" s="57"/>
      <c r="I63" s="57"/>
    </row>
    <row r="64" spans="1:9" ht="25.5" customHeight="1" x14ac:dyDescent="0.25">
      <c r="A64" s="15" t="s">
        <v>89</v>
      </c>
      <c r="B64" s="57" t="s">
        <v>90</v>
      </c>
      <c r="C64" s="57"/>
      <c r="D64" s="57"/>
      <c r="E64" s="57"/>
      <c r="F64" s="57"/>
      <c r="G64" s="57"/>
      <c r="H64" s="57"/>
      <c r="I64" s="57"/>
    </row>
    <row r="65" spans="1:9" ht="25.5" customHeight="1" x14ac:dyDescent="0.25">
      <c r="A65" s="15" t="s">
        <v>91</v>
      </c>
      <c r="B65" s="57" t="s">
        <v>92</v>
      </c>
      <c r="C65" s="57"/>
      <c r="D65" s="57"/>
      <c r="E65" s="57"/>
      <c r="F65" s="57"/>
      <c r="G65" s="57"/>
      <c r="H65" s="57"/>
      <c r="I65" s="57"/>
    </row>
    <row r="66" spans="1:9" ht="15" customHeight="1" x14ac:dyDescent="0.25">
      <c r="A66" s="15" t="s">
        <v>93</v>
      </c>
      <c r="B66" s="57" t="s">
        <v>94</v>
      </c>
      <c r="C66" s="57"/>
      <c r="D66" s="57"/>
      <c r="E66" s="57"/>
      <c r="F66" s="57"/>
      <c r="G66" s="57"/>
      <c r="H66" s="57"/>
      <c r="I66" s="57"/>
    </row>
    <row r="67" spans="1:9" ht="15" customHeight="1" x14ac:dyDescent="0.25">
      <c r="A67" s="15" t="s">
        <v>95</v>
      </c>
      <c r="B67" s="57" t="s">
        <v>96</v>
      </c>
      <c r="C67" s="57"/>
      <c r="D67" s="57"/>
      <c r="E67" s="57"/>
      <c r="F67" s="57"/>
      <c r="G67" s="57"/>
      <c r="H67" s="57"/>
      <c r="I67" s="57"/>
    </row>
    <row r="68" spans="1:9" ht="15" customHeight="1" x14ac:dyDescent="0.25">
      <c r="A68" s="15" t="s">
        <v>97</v>
      </c>
      <c r="B68" s="57" t="s">
        <v>98</v>
      </c>
      <c r="C68" s="57"/>
      <c r="D68" s="57"/>
      <c r="E68" s="57"/>
      <c r="F68" s="57"/>
      <c r="G68" s="57"/>
      <c r="H68" s="57"/>
      <c r="I68" s="57"/>
    </row>
    <row r="69" spans="1:9" ht="15" customHeight="1" x14ac:dyDescent="0.25">
      <c r="A69" s="15" t="s">
        <v>99</v>
      </c>
      <c r="B69" s="57" t="s">
        <v>100</v>
      </c>
      <c r="C69" s="57"/>
      <c r="D69" s="57"/>
      <c r="E69" s="57"/>
      <c r="F69" s="57"/>
      <c r="G69" s="57"/>
      <c r="H69" s="57"/>
      <c r="I69" s="57"/>
    </row>
    <row r="71" spans="1:9" ht="21.75" customHeight="1" x14ac:dyDescent="0.25">
      <c r="A71" s="54" t="s">
        <v>101</v>
      </c>
      <c r="B71" s="54"/>
      <c r="C71" s="54"/>
      <c r="D71" s="54"/>
      <c r="E71" s="54"/>
      <c r="F71" s="54"/>
      <c r="G71" s="54"/>
      <c r="H71" s="54"/>
      <c r="I71" s="54"/>
    </row>
    <row r="72" spans="1:9" ht="25.5" customHeight="1" x14ac:dyDescent="0.25">
      <c r="A72" s="55" t="s">
        <v>102</v>
      </c>
      <c r="B72" s="55"/>
      <c r="C72" s="55"/>
      <c r="D72" s="55"/>
      <c r="E72" s="55"/>
      <c r="F72" s="55"/>
      <c r="G72" s="55"/>
      <c r="H72" s="55"/>
      <c r="I72" s="55"/>
    </row>
    <row r="73" spans="1:9" ht="25.5" customHeight="1" x14ac:dyDescent="0.25">
      <c r="A73" s="55" t="s">
        <v>103</v>
      </c>
      <c r="B73" s="55"/>
      <c r="C73" s="55"/>
      <c r="D73" s="55"/>
      <c r="E73" s="55"/>
      <c r="F73" s="55"/>
      <c r="G73" s="55"/>
      <c r="H73" s="55"/>
      <c r="I73" s="55"/>
    </row>
    <row r="74" spans="1:9" ht="25.5" customHeight="1" x14ac:dyDescent="0.25">
      <c r="A74" s="55" t="s">
        <v>104</v>
      </c>
      <c r="B74" s="55"/>
      <c r="C74" s="55"/>
      <c r="D74" s="55"/>
      <c r="E74" s="55"/>
      <c r="F74" s="55"/>
      <c r="G74" s="55"/>
      <c r="H74" s="55"/>
      <c r="I74" s="55"/>
    </row>
    <row r="75" spans="1:9" ht="15" customHeight="1" x14ac:dyDescent="0.25">
      <c r="A75" s="55" t="s">
        <v>105</v>
      </c>
      <c r="B75" s="55"/>
      <c r="C75" s="55"/>
      <c r="D75" s="55"/>
      <c r="E75" s="55"/>
      <c r="F75" s="55"/>
      <c r="G75" s="55"/>
      <c r="H75" s="55"/>
      <c r="I75" s="55"/>
    </row>
    <row r="76" spans="1:9" ht="25.5" customHeight="1" x14ac:dyDescent="0.25">
      <c r="A76" s="55" t="s">
        <v>106</v>
      </c>
      <c r="B76" s="55"/>
      <c r="C76" s="55"/>
      <c r="D76" s="55"/>
      <c r="E76" s="55"/>
      <c r="F76" s="55"/>
      <c r="G76" s="55"/>
      <c r="H76" s="55"/>
      <c r="I76" s="55"/>
    </row>
    <row r="77" spans="1:9" ht="25.5" customHeight="1" x14ac:dyDescent="0.25">
      <c r="A77" s="55" t="s">
        <v>107</v>
      </c>
      <c r="B77" s="55"/>
      <c r="C77" s="55"/>
      <c r="D77" s="55"/>
      <c r="E77" s="55"/>
      <c r="F77" s="55"/>
      <c r="G77" s="55"/>
      <c r="H77" s="55"/>
      <c r="I77" s="55"/>
    </row>
    <row r="78" spans="1:9" ht="25.5" customHeight="1" x14ac:dyDescent="0.25">
      <c r="A78" s="55" t="s">
        <v>108</v>
      </c>
      <c r="B78" s="55"/>
      <c r="C78" s="55"/>
      <c r="D78" s="55"/>
      <c r="E78" s="55"/>
      <c r="F78" s="55"/>
      <c r="G78" s="55"/>
      <c r="H78" s="55"/>
      <c r="I78" s="55"/>
    </row>
    <row r="79" spans="1:9" ht="15" customHeight="1" x14ac:dyDescent="0.25">
      <c r="A79" s="55" t="s">
        <v>109</v>
      </c>
      <c r="B79" s="55"/>
      <c r="C79" s="55"/>
      <c r="D79" s="55"/>
      <c r="E79" s="55"/>
      <c r="F79" s="55"/>
      <c r="G79" s="55"/>
      <c r="H79" s="55"/>
      <c r="I79" s="55"/>
    </row>
  </sheetData>
  <mergeCells count="42">
    <mergeCell ref="A78:I78"/>
    <mergeCell ref="A79:I79"/>
    <mergeCell ref="A73:I73"/>
    <mergeCell ref="A74:I74"/>
    <mergeCell ref="A75:I75"/>
    <mergeCell ref="A76:I76"/>
    <mergeCell ref="A77:I77"/>
    <mergeCell ref="B67:I67"/>
    <mergeCell ref="B68:I68"/>
    <mergeCell ref="B69:I69"/>
    <mergeCell ref="A71:I71"/>
    <mergeCell ref="A72:I72"/>
    <mergeCell ref="A62:I62"/>
    <mergeCell ref="B63:I63"/>
    <mergeCell ref="B64:I64"/>
    <mergeCell ref="B65:I65"/>
    <mergeCell ref="B66:I66"/>
    <mergeCell ref="A40:I40"/>
    <mergeCell ref="A41:I41"/>
    <mergeCell ref="A43:I43"/>
    <mergeCell ref="D44:E44"/>
    <mergeCell ref="A60:I60"/>
    <mergeCell ref="A35:I35"/>
    <mergeCell ref="A36:I36"/>
    <mergeCell ref="A37:I37"/>
    <mergeCell ref="A38:I38"/>
    <mergeCell ref="A39:I39"/>
    <mergeCell ref="A30:I30"/>
    <mergeCell ref="A31:I31"/>
    <mergeCell ref="A32:I32"/>
    <mergeCell ref="A33:I33"/>
    <mergeCell ref="A34:I34"/>
    <mergeCell ref="A8:I8"/>
    <mergeCell ref="A14:I14"/>
    <mergeCell ref="A21:I21"/>
    <mergeCell ref="A27:I27"/>
    <mergeCell ref="A29:I29"/>
    <mergeCell ref="A1:I1"/>
    <mergeCell ref="A2:I2"/>
    <mergeCell ref="A4:I4"/>
    <mergeCell ref="A5:I5"/>
    <mergeCell ref="A6:I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4"/>
  <sheetViews>
    <sheetView showGridLines="0" tabSelected="1" zoomScaleNormal="100" workbookViewId="0">
      <pane xSplit="3" ySplit="4" topLeftCell="D5" activePane="bottomRight" state="frozen"/>
      <selection pane="topRight" activeCell="D1" sqref="D1"/>
      <selection pane="bottomLeft" activeCell="A5" sqref="A5"/>
      <selection pane="bottomRight" activeCell="E8" sqref="E8"/>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110</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111</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128</v>
      </c>
      <c r="B5" s="18" t="s">
        <v>129</v>
      </c>
      <c r="C5" s="17" t="s">
        <v>130</v>
      </c>
      <c r="D5" s="18">
        <v>3</v>
      </c>
      <c r="E5" s="17" t="s">
        <v>131</v>
      </c>
      <c r="F5" s="17" t="s">
        <v>132</v>
      </c>
      <c r="G5" s="17" t="s">
        <v>133</v>
      </c>
      <c r="H5" s="17" t="s">
        <v>134</v>
      </c>
      <c r="I5" s="17" t="s">
        <v>135</v>
      </c>
      <c r="J5" s="19" t="s">
        <v>136</v>
      </c>
      <c r="K5" s="19" t="s">
        <v>136</v>
      </c>
      <c r="L5" s="19" t="s">
        <v>136</v>
      </c>
      <c r="M5" s="17" t="s">
        <v>137</v>
      </c>
      <c r="N5" s="18" t="s">
        <v>137</v>
      </c>
      <c r="O5" s="20" t="s">
        <v>22</v>
      </c>
      <c r="P5" s="19" t="s">
        <v>136</v>
      </c>
      <c r="Q5" s="17" t="s">
        <v>138</v>
      </c>
      <c r="R5" s="17" t="s">
        <v>139</v>
      </c>
      <c r="S5" s="17" t="s">
        <v>140</v>
      </c>
      <c r="T5" s="17" t="s">
        <v>141</v>
      </c>
      <c r="U5" s="21" t="s">
        <v>136</v>
      </c>
      <c r="V5" s="17" t="s">
        <v>142</v>
      </c>
    </row>
    <row r="6" spans="1:22" ht="25.5" x14ac:dyDescent="0.25">
      <c r="A6" s="22" t="s">
        <v>128</v>
      </c>
      <c r="B6" s="23" t="s">
        <v>129</v>
      </c>
      <c r="C6" s="22" t="s">
        <v>143</v>
      </c>
      <c r="D6" s="23">
        <v>3</v>
      </c>
      <c r="E6" s="22" t="s">
        <v>131</v>
      </c>
      <c r="F6" s="22" t="s">
        <v>144</v>
      </c>
      <c r="G6" s="22" t="s">
        <v>145</v>
      </c>
      <c r="H6" s="22" t="s">
        <v>146</v>
      </c>
      <c r="I6" s="22" t="s">
        <v>147</v>
      </c>
      <c r="J6" s="19" t="s">
        <v>136</v>
      </c>
      <c r="K6" s="19" t="s">
        <v>136</v>
      </c>
      <c r="L6" s="19" t="s">
        <v>136</v>
      </c>
      <c r="M6" s="22" t="s">
        <v>137</v>
      </c>
      <c r="N6" s="23" t="s">
        <v>137</v>
      </c>
      <c r="O6" s="20" t="s">
        <v>22</v>
      </c>
      <c r="P6" s="24" t="s">
        <v>148</v>
      </c>
      <c r="Q6" s="22" t="s">
        <v>149</v>
      </c>
      <c r="R6" s="22" t="s">
        <v>139</v>
      </c>
      <c r="S6" s="22" t="s">
        <v>150</v>
      </c>
      <c r="T6" s="22" t="s">
        <v>141</v>
      </c>
      <c r="U6" s="25" t="s">
        <v>136</v>
      </c>
      <c r="V6" s="22" t="s">
        <v>142</v>
      </c>
    </row>
    <row r="7" spans="1:22" ht="51" x14ac:dyDescent="0.25">
      <c r="A7" s="17" t="s">
        <v>128</v>
      </c>
      <c r="B7" s="18" t="s">
        <v>129</v>
      </c>
      <c r="C7" s="17" t="s">
        <v>151</v>
      </c>
      <c r="D7" s="18">
        <v>3</v>
      </c>
      <c r="E7" s="17" t="s">
        <v>152</v>
      </c>
      <c r="F7" s="17" t="s">
        <v>153</v>
      </c>
      <c r="G7" s="17" t="s">
        <v>154</v>
      </c>
      <c r="H7" s="17" t="s">
        <v>155</v>
      </c>
      <c r="I7" s="17" t="s">
        <v>156</v>
      </c>
      <c r="J7" s="19" t="s">
        <v>136</v>
      </c>
      <c r="K7" s="19" t="s">
        <v>136</v>
      </c>
      <c r="L7" s="19" t="s">
        <v>136</v>
      </c>
      <c r="M7" s="22" t="s">
        <v>137</v>
      </c>
      <c r="N7" s="23" t="s">
        <v>137</v>
      </c>
      <c r="O7" s="20" t="s">
        <v>22</v>
      </c>
      <c r="P7" s="24" t="s">
        <v>148</v>
      </c>
      <c r="Q7" s="17" t="s">
        <v>157</v>
      </c>
      <c r="R7" s="17" t="s">
        <v>158</v>
      </c>
      <c r="S7" s="17" t="s">
        <v>159</v>
      </c>
      <c r="T7" s="17" t="s">
        <v>160</v>
      </c>
      <c r="U7" s="26" t="s">
        <v>148</v>
      </c>
      <c r="V7" s="17" t="s">
        <v>142</v>
      </c>
    </row>
    <row r="8" spans="1:22" ht="25.5" x14ac:dyDescent="0.25">
      <c r="A8" s="22" t="s">
        <v>128</v>
      </c>
      <c r="B8" s="23" t="s">
        <v>129</v>
      </c>
      <c r="C8" s="22" t="s">
        <v>161</v>
      </c>
      <c r="D8" s="23">
        <v>2</v>
      </c>
      <c r="E8" s="22" t="s">
        <v>162</v>
      </c>
      <c r="F8" s="22" t="s">
        <v>163</v>
      </c>
      <c r="G8" s="22" t="s">
        <v>164</v>
      </c>
      <c r="H8" s="22" t="s">
        <v>165</v>
      </c>
      <c r="I8" s="22" t="s">
        <v>136</v>
      </c>
      <c r="J8" s="19" t="s">
        <v>136</v>
      </c>
      <c r="K8" s="19" t="s">
        <v>136</v>
      </c>
      <c r="L8" s="19" t="s">
        <v>136</v>
      </c>
      <c r="M8" s="22" t="s">
        <v>137</v>
      </c>
      <c r="N8" s="23" t="s">
        <v>137</v>
      </c>
      <c r="O8" s="20" t="s">
        <v>22</v>
      </c>
      <c r="P8" s="19" t="s">
        <v>136</v>
      </c>
      <c r="Q8" s="22" t="s">
        <v>138</v>
      </c>
      <c r="R8" s="22" t="s">
        <v>139</v>
      </c>
      <c r="S8" s="22" t="s">
        <v>166</v>
      </c>
      <c r="T8" s="22" t="s">
        <v>141</v>
      </c>
      <c r="U8" s="25" t="s">
        <v>136</v>
      </c>
      <c r="V8" s="22" t="s">
        <v>142</v>
      </c>
    </row>
    <row r="9" spans="1:22" ht="25.5" x14ac:dyDescent="0.25">
      <c r="A9" s="17" t="s">
        <v>128</v>
      </c>
      <c r="B9" s="18" t="s">
        <v>129</v>
      </c>
      <c r="C9" s="17" t="s">
        <v>167</v>
      </c>
      <c r="D9" s="18">
        <v>2</v>
      </c>
      <c r="E9" s="17" t="s">
        <v>162</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128</v>
      </c>
      <c r="B10" s="23" t="s">
        <v>129</v>
      </c>
      <c r="C10" s="22" t="s">
        <v>168</v>
      </c>
      <c r="D10" s="23">
        <v>1</v>
      </c>
      <c r="E10" s="22" t="s">
        <v>162</v>
      </c>
      <c r="F10" s="22" t="s">
        <v>169</v>
      </c>
      <c r="G10" s="22" t="s">
        <v>170</v>
      </c>
      <c r="H10" s="22" t="s">
        <v>171</v>
      </c>
      <c r="I10" s="22" t="s">
        <v>135</v>
      </c>
      <c r="J10" s="19" t="s">
        <v>136</v>
      </c>
      <c r="K10" s="19" t="s">
        <v>136</v>
      </c>
      <c r="L10" s="19" t="s">
        <v>136</v>
      </c>
      <c r="M10" s="22" t="s">
        <v>137</v>
      </c>
      <c r="N10" s="23" t="s">
        <v>137</v>
      </c>
      <c r="O10" s="20" t="s">
        <v>22</v>
      </c>
      <c r="P10" s="19" t="s">
        <v>136</v>
      </c>
      <c r="Q10" s="22" t="s">
        <v>138</v>
      </c>
      <c r="R10" s="22" t="s">
        <v>139</v>
      </c>
      <c r="S10" s="22" t="s">
        <v>172</v>
      </c>
      <c r="T10" s="22" t="s">
        <v>141</v>
      </c>
      <c r="U10" s="25" t="s">
        <v>136</v>
      </c>
      <c r="V10" s="22" t="s">
        <v>142</v>
      </c>
    </row>
    <row r="11" spans="1:22" ht="25.5" x14ac:dyDescent="0.25">
      <c r="A11" s="17" t="s">
        <v>128</v>
      </c>
      <c r="B11" s="18" t="s">
        <v>129</v>
      </c>
      <c r="C11" s="17" t="s">
        <v>173</v>
      </c>
      <c r="D11" s="18">
        <v>1</v>
      </c>
      <c r="E11" s="17" t="s">
        <v>162</v>
      </c>
      <c r="F11" s="17" t="s">
        <v>169</v>
      </c>
      <c r="G11" s="17" t="s">
        <v>170</v>
      </c>
      <c r="H11" s="17" t="s">
        <v>171</v>
      </c>
      <c r="I11" s="17" t="s">
        <v>135</v>
      </c>
      <c r="J11" s="19" t="s">
        <v>136</v>
      </c>
      <c r="K11" s="19" t="s">
        <v>136</v>
      </c>
      <c r="L11" s="19" t="s">
        <v>136</v>
      </c>
      <c r="M11" s="17" t="s">
        <v>137</v>
      </c>
      <c r="N11" s="18" t="s">
        <v>137</v>
      </c>
      <c r="O11" s="20" t="s">
        <v>22</v>
      </c>
      <c r="P11" s="19" t="s">
        <v>136</v>
      </c>
      <c r="Q11" s="17" t="s">
        <v>138</v>
      </c>
      <c r="R11" s="17" t="s">
        <v>139</v>
      </c>
      <c r="S11" s="17" t="s">
        <v>172</v>
      </c>
      <c r="T11" s="17" t="s">
        <v>141</v>
      </c>
      <c r="U11" s="21" t="s">
        <v>136</v>
      </c>
      <c r="V11" s="17" t="s">
        <v>142</v>
      </c>
    </row>
    <row r="12" spans="1:22" ht="25.5" x14ac:dyDescent="0.25">
      <c r="A12" s="22" t="s">
        <v>128</v>
      </c>
      <c r="B12" s="23" t="s">
        <v>129</v>
      </c>
      <c r="C12" s="22" t="s">
        <v>174</v>
      </c>
      <c r="D12" s="23">
        <v>1</v>
      </c>
      <c r="E12" s="22" t="s">
        <v>162</v>
      </c>
      <c r="F12" s="22" t="s">
        <v>163</v>
      </c>
      <c r="G12" s="22" t="s">
        <v>164</v>
      </c>
      <c r="H12" s="22" t="s">
        <v>165</v>
      </c>
      <c r="I12" s="22" t="s">
        <v>136</v>
      </c>
      <c r="J12" s="19" t="s">
        <v>136</v>
      </c>
      <c r="K12" s="19" t="s">
        <v>136</v>
      </c>
      <c r="L12" s="19" t="s">
        <v>136</v>
      </c>
      <c r="M12" s="22" t="s">
        <v>137</v>
      </c>
      <c r="N12" s="23" t="s">
        <v>137</v>
      </c>
      <c r="O12" s="20" t="s">
        <v>22</v>
      </c>
      <c r="P12" s="19" t="s">
        <v>136</v>
      </c>
      <c r="Q12" s="22" t="s">
        <v>138</v>
      </c>
      <c r="R12" s="22" t="s">
        <v>139</v>
      </c>
      <c r="S12" s="22" t="s">
        <v>166</v>
      </c>
      <c r="T12" s="22" t="s">
        <v>141</v>
      </c>
      <c r="U12" s="25" t="s">
        <v>136</v>
      </c>
      <c r="V12" s="22" t="s">
        <v>142</v>
      </c>
    </row>
    <row r="13" spans="1:22" ht="25.5" x14ac:dyDescent="0.25">
      <c r="A13" s="17" t="s">
        <v>128</v>
      </c>
      <c r="B13" s="18" t="s">
        <v>129</v>
      </c>
      <c r="C13" s="17" t="s">
        <v>175</v>
      </c>
      <c r="D13" s="18">
        <v>2</v>
      </c>
      <c r="E13" s="17" t="s">
        <v>162</v>
      </c>
      <c r="F13" s="17" t="s">
        <v>176</v>
      </c>
      <c r="G13" s="17" t="s">
        <v>177</v>
      </c>
      <c r="H13" s="17" t="s">
        <v>178</v>
      </c>
      <c r="I13" s="17" t="s">
        <v>135</v>
      </c>
      <c r="J13" s="19" t="s">
        <v>136</v>
      </c>
      <c r="K13" s="19" t="s">
        <v>136</v>
      </c>
      <c r="L13" s="19" t="s">
        <v>136</v>
      </c>
      <c r="M13" s="17" t="s">
        <v>137</v>
      </c>
      <c r="N13" s="18" t="s">
        <v>137</v>
      </c>
      <c r="O13" s="20" t="s">
        <v>22</v>
      </c>
      <c r="P13" s="19" t="s">
        <v>136</v>
      </c>
      <c r="Q13" s="17" t="s">
        <v>138</v>
      </c>
      <c r="R13" s="17" t="s">
        <v>139</v>
      </c>
      <c r="S13" s="17" t="s">
        <v>179</v>
      </c>
      <c r="T13" s="17" t="s">
        <v>141</v>
      </c>
      <c r="U13" s="21" t="s">
        <v>136</v>
      </c>
      <c r="V13" s="17" t="s">
        <v>142</v>
      </c>
    </row>
    <row r="14" spans="1:22" ht="25.5" x14ac:dyDescent="0.25">
      <c r="A14" s="22" t="s">
        <v>128</v>
      </c>
      <c r="B14" s="23" t="s">
        <v>180</v>
      </c>
      <c r="C14" s="22" t="s">
        <v>181</v>
      </c>
      <c r="D14" s="23">
        <v>4</v>
      </c>
      <c r="E14" s="22" t="s">
        <v>131</v>
      </c>
      <c r="F14" s="22" t="s">
        <v>132</v>
      </c>
      <c r="G14" s="22" t="s">
        <v>133</v>
      </c>
      <c r="H14" s="22" t="s">
        <v>134</v>
      </c>
      <c r="I14" s="22" t="s">
        <v>135</v>
      </c>
      <c r="J14" s="19" t="s">
        <v>136</v>
      </c>
      <c r="K14" s="19" t="s">
        <v>136</v>
      </c>
      <c r="L14" s="19" t="s">
        <v>136</v>
      </c>
      <c r="M14" s="22" t="s">
        <v>137</v>
      </c>
      <c r="N14" s="23" t="s">
        <v>137</v>
      </c>
      <c r="O14" s="20" t="s">
        <v>22</v>
      </c>
      <c r="P14" s="19" t="s">
        <v>136</v>
      </c>
      <c r="Q14" s="22" t="s">
        <v>138</v>
      </c>
      <c r="R14" s="22" t="s">
        <v>139</v>
      </c>
      <c r="S14" s="22" t="s">
        <v>140</v>
      </c>
      <c r="T14" s="22" t="s">
        <v>141</v>
      </c>
      <c r="U14" s="25" t="s">
        <v>136</v>
      </c>
      <c r="V14" s="22" t="s">
        <v>142</v>
      </c>
    </row>
    <row r="15" spans="1:22" ht="25.5" x14ac:dyDescent="0.25">
      <c r="A15" s="17" t="s">
        <v>128</v>
      </c>
      <c r="B15" s="18" t="s">
        <v>180</v>
      </c>
      <c r="C15" s="17" t="s">
        <v>182</v>
      </c>
      <c r="D15" s="18">
        <v>3</v>
      </c>
      <c r="E15" s="17" t="s">
        <v>131</v>
      </c>
      <c r="F15" s="17" t="s">
        <v>132</v>
      </c>
      <c r="G15" s="17" t="s">
        <v>133</v>
      </c>
      <c r="H15" s="17" t="s">
        <v>134</v>
      </c>
      <c r="I15" s="17" t="s">
        <v>135</v>
      </c>
      <c r="J15" s="19" t="s">
        <v>136</v>
      </c>
      <c r="K15" s="19" t="s">
        <v>136</v>
      </c>
      <c r="L15" s="19" t="s">
        <v>136</v>
      </c>
      <c r="M15" s="17" t="s">
        <v>137</v>
      </c>
      <c r="N15" s="18" t="s">
        <v>137</v>
      </c>
      <c r="O15" s="20" t="s">
        <v>22</v>
      </c>
      <c r="P15" s="19" t="s">
        <v>136</v>
      </c>
      <c r="Q15" s="17" t="s">
        <v>138</v>
      </c>
      <c r="R15" s="17" t="s">
        <v>139</v>
      </c>
      <c r="S15" s="17" t="s">
        <v>140</v>
      </c>
      <c r="T15" s="17" t="s">
        <v>141</v>
      </c>
      <c r="U15" s="21" t="s">
        <v>136</v>
      </c>
      <c r="V15" s="17" t="s">
        <v>142</v>
      </c>
    </row>
    <row r="16" spans="1:22" ht="25.5" x14ac:dyDescent="0.25">
      <c r="A16" s="22" t="s">
        <v>128</v>
      </c>
      <c r="B16" s="23" t="s">
        <v>180</v>
      </c>
      <c r="C16" s="22" t="s">
        <v>183</v>
      </c>
      <c r="D16" s="23">
        <v>4</v>
      </c>
      <c r="E16" s="22" t="s">
        <v>131</v>
      </c>
      <c r="F16" s="22" t="s">
        <v>184</v>
      </c>
      <c r="G16" s="22" t="s">
        <v>185</v>
      </c>
      <c r="H16" s="22" t="s">
        <v>186</v>
      </c>
      <c r="I16" s="22" t="s">
        <v>147</v>
      </c>
      <c r="J16" s="19" t="s">
        <v>136</v>
      </c>
      <c r="K16" s="19" t="s">
        <v>136</v>
      </c>
      <c r="L16" s="19" t="s">
        <v>136</v>
      </c>
      <c r="M16" s="22" t="s">
        <v>137</v>
      </c>
      <c r="N16" s="23" t="s">
        <v>137</v>
      </c>
      <c r="O16" s="20" t="s">
        <v>22</v>
      </c>
      <c r="P16" s="24" t="s">
        <v>148</v>
      </c>
      <c r="Q16" s="22" t="s">
        <v>187</v>
      </c>
      <c r="R16" s="22" t="s">
        <v>139</v>
      </c>
      <c r="S16" s="22" t="s">
        <v>188</v>
      </c>
      <c r="T16" s="22" t="s">
        <v>141</v>
      </c>
      <c r="U16" s="25" t="s">
        <v>136</v>
      </c>
      <c r="V16" s="22" t="s">
        <v>142</v>
      </c>
    </row>
    <row r="17" spans="1:22" ht="25.5" x14ac:dyDescent="0.25">
      <c r="A17" s="17" t="s">
        <v>128</v>
      </c>
      <c r="B17" s="18" t="s">
        <v>180</v>
      </c>
      <c r="C17" s="17" t="s">
        <v>189</v>
      </c>
      <c r="D17" s="18">
        <v>3</v>
      </c>
      <c r="E17" s="17" t="s">
        <v>190</v>
      </c>
      <c r="F17" s="17" t="s">
        <v>191</v>
      </c>
      <c r="G17" s="17" t="s">
        <v>192</v>
      </c>
      <c r="H17" s="17" t="s">
        <v>193</v>
      </c>
      <c r="I17" s="17" t="s">
        <v>135</v>
      </c>
      <c r="J17" s="19" t="s">
        <v>136</v>
      </c>
      <c r="K17" s="19" t="s">
        <v>136</v>
      </c>
      <c r="L17" s="19" t="s">
        <v>136</v>
      </c>
      <c r="M17" s="17" t="s">
        <v>137</v>
      </c>
      <c r="N17" s="18" t="s">
        <v>137</v>
      </c>
      <c r="O17" s="20" t="s">
        <v>22</v>
      </c>
      <c r="P17" s="19" t="s">
        <v>136</v>
      </c>
      <c r="Q17" s="17" t="s">
        <v>138</v>
      </c>
      <c r="R17" s="17" t="s">
        <v>139</v>
      </c>
      <c r="S17" s="17" t="s">
        <v>194</v>
      </c>
      <c r="T17" s="17" t="s">
        <v>141</v>
      </c>
      <c r="U17" s="21" t="s">
        <v>136</v>
      </c>
      <c r="V17" s="17" t="s">
        <v>142</v>
      </c>
    </row>
    <row r="18" spans="1:22" ht="25.5" x14ac:dyDescent="0.25">
      <c r="A18" s="22" t="s">
        <v>128</v>
      </c>
      <c r="B18" s="23" t="s">
        <v>180</v>
      </c>
      <c r="C18" s="22" t="s">
        <v>195</v>
      </c>
      <c r="D18" s="23">
        <v>2</v>
      </c>
      <c r="E18" s="22" t="s">
        <v>162</v>
      </c>
      <c r="F18" s="22" t="s">
        <v>163</v>
      </c>
      <c r="G18" s="22" t="s">
        <v>164</v>
      </c>
      <c r="H18" s="22" t="s">
        <v>165</v>
      </c>
      <c r="I18" s="22" t="s">
        <v>136</v>
      </c>
      <c r="J18" s="19" t="s">
        <v>136</v>
      </c>
      <c r="K18" s="19" t="s">
        <v>136</v>
      </c>
      <c r="L18" s="19" t="s">
        <v>136</v>
      </c>
      <c r="M18" s="22" t="s">
        <v>137</v>
      </c>
      <c r="N18" s="23" t="s">
        <v>137</v>
      </c>
      <c r="O18" s="20" t="s">
        <v>22</v>
      </c>
      <c r="P18" s="19" t="s">
        <v>136</v>
      </c>
      <c r="Q18" s="22" t="s">
        <v>138</v>
      </c>
      <c r="R18" s="22" t="s">
        <v>139</v>
      </c>
      <c r="S18" s="22" t="s">
        <v>166</v>
      </c>
      <c r="T18" s="22" t="s">
        <v>141</v>
      </c>
      <c r="U18" s="25" t="s">
        <v>136</v>
      </c>
      <c r="V18" s="22" t="s">
        <v>142</v>
      </c>
    </row>
    <row r="19" spans="1:22" ht="25.5" x14ac:dyDescent="0.25">
      <c r="A19" s="17" t="s">
        <v>128</v>
      </c>
      <c r="B19" s="18" t="s">
        <v>180</v>
      </c>
      <c r="C19" s="17" t="s">
        <v>196</v>
      </c>
      <c r="D19" s="18">
        <v>1</v>
      </c>
      <c r="E19" s="17" t="s">
        <v>162</v>
      </c>
      <c r="F19" s="17" t="s">
        <v>169</v>
      </c>
      <c r="G19" s="17" t="s">
        <v>170</v>
      </c>
      <c r="H19" s="17" t="s">
        <v>171</v>
      </c>
      <c r="I19" s="17" t="s">
        <v>135</v>
      </c>
      <c r="J19" s="19" t="s">
        <v>136</v>
      </c>
      <c r="K19" s="19" t="s">
        <v>136</v>
      </c>
      <c r="L19" s="19" t="s">
        <v>136</v>
      </c>
      <c r="M19" s="17" t="s">
        <v>137</v>
      </c>
      <c r="N19" s="18" t="s">
        <v>137</v>
      </c>
      <c r="O19" s="20" t="s">
        <v>22</v>
      </c>
      <c r="P19" s="19" t="s">
        <v>136</v>
      </c>
      <c r="Q19" s="17" t="s">
        <v>138</v>
      </c>
      <c r="R19" s="17" t="s">
        <v>139</v>
      </c>
      <c r="S19" s="17" t="s">
        <v>172</v>
      </c>
      <c r="T19" s="17" t="s">
        <v>141</v>
      </c>
      <c r="U19" s="21" t="s">
        <v>136</v>
      </c>
      <c r="V19" s="17" t="s">
        <v>142</v>
      </c>
    </row>
    <row r="20" spans="1:22" ht="25.5" x14ac:dyDescent="0.25">
      <c r="A20" s="22" t="s">
        <v>128</v>
      </c>
      <c r="B20" s="23" t="s">
        <v>180</v>
      </c>
      <c r="C20" s="22" t="s">
        <v>197</v>
      </c>
      <c r="D20" s="23">
        <v>2</v>
      </c>
      <c r="E20" s="22" t="s">
        <v>162</v>
      </c>
      <c r="F20" s="22" t="s">
        <v>176</v>
      </c>
      <c r="G20" s="22" t="s">
        <v>177</v>
      </c>
      <c r="H20" s="22" t="s">
        <v>178</v>
      </c>
      <c r="I20" s="22" t="s">
        <v>135</v>
      </c>
      <c r="J20" s="19" t="s">
        <v>136</v>
      </c>
      <c r="K20" s="19" t="s">
        <v>136</v>
      </c>
      <c r="L20" s="19" t="s">
        <v>136</v>
      </c>
      <c r="M20" s="22" t="s">
        <v>137</v>
      </c>
      <c r="N20" s="23" t="s">
        <v>137</v>
      </c>
      <c r="O20" s="20" t="s">
        <v>22</v>
      </c>
      <c r="P20" s="19" t="s">
        <v>136</v>
      </c>
      <c r="Q20" s="22" t="s">
        <v>138</v>
      </c>
      <c r="R20" s="22" t="s">
        <v>139</v>
      </c>
      <c r="S20" s="22" t="s">
        <v>179</v>
      </c>
      <c r="T20" s="22" t="s">
        <v>141</v>
      </c>
      <c r="U20" s="25" t="s">
        <v>136</v>
      </c>
      <c r="V20" s="22" t="s">
        <v>142</v>
      </c>
    </row>
    <row r="21" spans="1:22" ht="25.5" x14ac:dyDescent="0.25">
      <c r="A21" s="17" t="s">
        <v>128</v>
      </c>
      <c r="B21" s="18" t="s">
        <v>198</v>
      </c>
      <c r="C21" s="17" t="s">
        <v>199</v>
      </c>
      <c r="D21" s="18">
        <v>3</v>
      </c>
      <c r="E21" s="17" t="s">
        <v>131</v>
      </c>
      <c r="F21" s="17" t="s">
        <v>132</v>
      </c>
      <c r="G21" s="17" t="s">
        <v>133</v>
      </c>
      <c r="H21" s="17" t="s">
        <v>134</v>
      </c>
      <c r="I21" s="17" t="s">
        <v>135</v>
      </c>
      <c r="J21" s="19" t="s">
        <v>136</v>
      </c>
      <c r="K21" s="19" t="s">
        <v>136</v>
      </c>
      <c r="L21" s="19" t="s">
        <v>136</v>
      </c>
      <c r="M21" s="17" t="s">
        <v>137</v>
      </c>
      <c r="N21" s="18" t="s">
        <v>137</v>
      </c>
      <c r="O21" s="20" t="s">
        <v>22</v>
      </c>
      <c r="P21" s="19" t="s">
        <v>136</v>
      </c>
      <c r="Q21" s="17" t="s">
        <v>138</v>
      </c>
      <c r="R21" s="17" t="s">
        <v>139</v>
      </c>
      <c r="S21" s="17" t="s">
        <v>140</v>
      </c>
      <c r="T21" s="17" t="s">
        <v>141</v>
      </c>
      <c r="U21" s="21" t="s">
        <v>136</v>
      </c>
      <c r="V21" s="17" t="s">
        <v>142</v>
      </c>
    </row>
    <row r="22" spans="1:22" ht="25.5" x14ac:dyDescent="0.25">
      <c r="A22" s="22" t="s">
        <v>128</v>
      </c>
      <c r="B22" s="23" t="s">
        <v>198</v>
      </c>
      <c r="C22" s="22" t="s">
        <v>200</v>
      </c>
      <c r="D22" s="23">
        <v>3</v>
      </c>
      <c r="E22" s="22" t="s">
        <v>131</v>
      </c>
      <c r="F22" s="22" t="s">
        <v>132</v>
      </c>
      <c r="G22" s="22" t="s">
        <v>133</v>
      </c>
      <c r="H22" s="22" t="s">
        <v>134</v>
      </c>
      <c r="I22" s="22" t="s">
        <v>135</v>
      </c>
      <c r="J22" s="19" t="s">
        <v>136</v>
      </c>
      <c r="K22" s="19" t="s">
        <v>136</v>
      </c>
      <c r="L22" s="19" t="s">
        <v>136</v>
      </c>
      <c r="M22" s="22" t="s">
        <v>137</v>
      </c>
      <c r="N22" s="23" t="s">
        <v>137</v>
      </c>
      <c r="O22" s="20" t="s">
        <v>22</v>
      </c>
      <c r="P22" s="19" t="s">
        <v>136</v>
      </c>
      <c r="Q22" s="22" t="s">
        <v>138</v>
      </c>
      <c r="R22" s="22" t="s">
        <v>139</v>
      </c>
      <c r="S22" s="22" t="s">
        <v>140</v>
      </c>
      <c r="T22" s="22" t="s">
        <v>141</v>
      </c>
      <c r="U22" s="25" t="s">
        <v>136</v>
      </c>
      <c r="V22" s="22" t="s">
        <v>142</v>
      </c>
    </row>
    <row r="23" spans="1:22" ht="25.5" x14ac:dyDescent="0.25">
      <c r="A23" s="17" t="s">
        <v>128</v>
      </c>
      <c r="B23" s="18" t="s">
        <v>198</v>
      </c>
      <c r="C23" s="17" t="s">
        <v>201</v>
      </c>
      <c r="D23" s="18">
        <v>4</v>
      </c>
      <c r="E23" s="17" t="s">
        <v>131</v>
      </c>
      <c r="F23" s="17" t="s">
        <v>184</v>
      </c>
      <c r="G23" s="17" t="s">
        <v>185</v>
      </c>
      <c r="H23" s="17" t="s">
        <v>186</v>
      </c>
      <c r="I23" s="17" t="s">
        <v>147</v>
      </c>
      <c r="J23" s="19" t="s">
        <v>136</v>
      </c>
      <c r="K23" s="19" t="s">
        <v>136</v>
      </c>
      <c r="L23" s="19" t="s">
        <v>136</v>
      </c>
      <c r="M23" s="17" t="s">
        <v>137</v>
      </c>
      <c r="N23" s="18" t="s">
        <v>137</v>
      </c>
      <c r="O23" s="20" t="s">
        <v>22</v>
      </c>
      <c r="P23" s="24" t="s">
        <v>148</v>
      </c>
      <c r="Q23" s="17" t="s">
        <v>187</v>
      </c>
      <c r="R23" s="17" t="s">
        <v>139</v>
      </c>
      <c r="S23" s="17" t="s">
        <v>188</v>
      </c>
      <c r="T23" s="17" t="s">
        <v>141</v>
      </c>
      <c r="U23" s="21" t="s">
        <v>136</v>
      </c>
      <c r="V23" s="17" t="s">
        <v>142</v>
      </c>
    </row>
    <row r="24" spans="1:22" ht="25.5" x14ac:dyDescent="0.25">
      <c r="A24" s="22" t="s">
        <v>128</v>
      </c>
      <c r="B24" s="23" t="s">
        <v>198</v>
      </c>
      <c r="C24" s="22" t="s">
        <v>202</v>
      </c>
      <c r="D24" s="23">
        <v>3</v>
      </c>
      <c r="E24" s="22" t="s">
        <v>152</v>
      </c>
      <c r="F24" s="22" t="s">
        <v>203</v>
      </c>
      <c r="G24" s="22" t="s">
        <v>204</v>
      </c>
      <c r="H24" s="22" t="s">
        <v>205</v>
      </c>
      <c r="I24" s="22" t="s">
        <v>206</v>
      </c>
      <c r="J24" s="19" t="s">
        <v>136</v>
      </c>
      <c r="K24" s="19" t="s">
        <v>136</v>
      </c>
      <c r="L24" s="19" t="s">
        <v>136</v>
      </c>
      <c r="M24" s="22" t="s">
        <v>137</v>
      </c>
      <c r="N24" s="23" t="s">
        <v>137</v>
      </c>
      <c r="O24" s="20" t="s">
        <v>22</v>
      </c>
      <c r="P24" s="27" t="s">
        <v>54</v>
      </c>
      <c r="Q24" s="22" t="s">
        <v>207</v>
      </c>
      <c r="R24" s="22" t="s">
        <v>208</v>
      </c>
      <c r="S24" s="22" t="s">
        <v>209</v>
      </c>
      <c r="T24" s="22" t="s">
        <v>210</v>
      </c>
      <c r="U24" s="28" t="s">
        <v>148</v>
      </c>
      <c r="V24" s="22" t="s">
        <v>142</v>
      </c>
    </row>
    <row r="25" spans="1:22" ht="25.5" x14ac:dyDescent="0.25">
      <c r="A25" s="17" t="s">
        <v>128</v>
      </c>
      <c r="B25" s="18" t="s">
        <v>198</v>
      </c>
      <c r="C25" s="17" t="s">
        <v>211</v>
      </c>
      <c r="D25" s="18">
        <v>2</v>
      </c>
      <c r="E25" s="17" t="s">
        <v>162</v>
      </c>
      <c r="F25" s="17" t="s">
        <v>163</v>
      </c>
      <c r="G25" s="17" t="s">
        <v>164</v>
      </c>
      <c r="H25" s="17" t="s">
        <v>165</v>
      </c>
      <c r="I25" s="17" t="s">
        <v>136</v>
      </c>
      <c r="J25" s="19" t="s">
        <v>136</v>
      </c>
      <c r="K25" s="19" t="s">
        <v>136</v>
      </c>
      <c r="L25" s="19" t="s">
        <v>136</v>
      </c>
      <c r="M25" s="17" t="s">
        <v>137</v>
      </c>
      <c r="N25" s="18" t="s">
        <v>137</v>
      </c>
      <c r="O25" s="20" t="s">
        <v>22</v>
      </c>
      <c r="P25" s="19" t="s">
        <v>136</v>
      </c>
      <c r="Q25" s="17" t="s">
        <v>138</v>
      </c>
      <c r="R25" s="17" t="s">
        <v>139</v>
      </c>
      <c r="S25" s="17" t="s">
        <v>166</v>
      </c>
      <c r="T25" s="17" t="s">
        <v>141</v>
      </c>
      <c r="U25" s="21" t="s">
        <v>136</v>
      </c>
      <c r="V25" s="17" t="s">
        <v>142</v>
      </c>
    </row>
    <row r="26" spans="1:22" ht="25.5" x14ac:dyDescent="0.25">
      <c r="A26" s="22" t="s">
        <v>128</v>
      </c>
      <c r="B26" s="23" t="s">
        <v>198</v>
      </c>
      <c r="C26" s="22" t="s">
        <v>212</v>
      </c>
      <c r="D26" s="23">
        <v>1</v>
      </c>
      <c r="E26" s="22" t="s">
        <v>162</v>
      </c>
      <c r="F26" s="22" t="s">
        <v>169</v>
      </c>
      <c r="G26" s="22" t="s">
        <v>170</v>
      </c>
      <c r="H26" s="22" t="s">
        <v>171</v>
      </c>
      <c r="I26" s="22" t="s">
        <v>135</v>
      </c>
      <c r="J26" s="19" t="s">
        <v>136</v>
      </c>
      <c r="K26" s="19" t="s">
        <v>136</v>
      </c>
      <c r="L26" s="19" t="s">
        <v>136</v>
      </c>
      <c r="M26" s="22" t="s">
        <v>137</v>
      </c>
      <c r="N26" s="23" t="s">
        <v>137</v>
      </c>
      <c r="O26" s="20" t="s">
        <v>22</v>
      </c>
      <c r="P26" s="19" t="s">
        <v>136</v>
      </c>
      <c r="Q26" s="22" t="s">
        <v>138</v>
      </c>
      <c r="R26" s="22" t="s">
        <v>139</v>
      </c>
      <c r="S26" s="22" t="s">
        <v>172</v>
      </c>
      <c r="T26" s="22" t="s">
        <v>141</v>
      </c>
      <c r="U26" s="25" t="s">
        <v>136</v>
      </c>
      <c r="V26" s="22" t="s">
        <v>142</v>
      </c>
    </row>
    <row r="27" spans="1:22" ht="25.5" x14ac:dyDescent="0.25">
      <c r="A27" s="17" t="s">
        <v>128</v>
      </c>
      <c r="B27" s="18" t="s">
        <v>198</v>
      </c>
      <c r="C27" s="17" t="s">
        <v>213</v>
      </c>
      <c r="D27" s="18">
        <v>2</v>
      </c>
      <c r="E27" s="17" t="s">
        <v>162</v>
      </c>
      <c r="F27" s="17" t="s">
        <v>176</v>
      </c>
      <c r="G27" s="17" t="s">
        <v>177</v>
      </c>
      <c r="H27" s="17" t="s">
        <v>178</v>
      </c>
      <c r="I27" s="17" t="s">
        <v>135</v>
      </c>
      <c r="J27" s="19" t="s">
        <v>136</v>
      </c>
      <c r="K27" s="19" t="s">
        <v>136</v>
      </c>
      <c r="L27" s="19" t="s">
        <v>136</v>
      </c>
      <c r="M27" s="17" t="s">
        <v>137</v>
      </c>
      <c r="N27" s="18" t="s">
        <v>137</v>
      </c>
      <c r="O27" s="20" t="s">
        <v>22</v>
      </c>
      <c r="P27" s="19" t="s">
        <v>136</v>
      </c>
      <c r="Q27" s="17" t="s">
        <v>138</v>
      </c>
      <c r="R27" s="17" t="s">
        <v>139</v>
      </c>
      <c r="S27" s="17" t="s">
        <v>179</v>
      </c>
      <c r="T27" s="17" t="s">
        <v>141</v>
      </c>
      <c r="U27" s="21" t="s">
        <v>136</v>
      </c>
      <c r="V27" s="17" t="s">
        <v>142</v>
      </c>
    </row>
    <row r="28" spans="1:22" ht="38.25" x14ac:dyDescent="0.25">
      <c r="A28" s="22" t="s">
        <v>128</v>
      </c>
      <c r="B28" s="23" t="s">
        <v>214</v>
      </c>
      <c r="C28" s="22" t="s">
        <v>215</v>
      </c>
      <c r="D28" s="23">
        <v>3</v>
      </c>
      <c r="E28" s="22" t="s">
        <v>131</v>
      </c>
      <c r="F28" s="22" t="s">
        <v>216</v>
      </c>
      <c r="G28" s="22" t="s">
        <v>217</v>
      </c>
      <c r="H28" s="22" t="s">
        <v>217</v>
      </c>
      <c r="I28" s="22" t="s">
        <v>218</v>
      </c>
      <c r="J28" s="29" t="s">
        <v>219</v>
      </c>
      <c r="K28" s="29" t="s">
        <v>219</v>
      </c>
      <c r="L28" s="29" t="s">
        <v>219</v>
      </c>
      <c r="M28" s="22" t="s">
        <v>220</v>
      </c>
      <c r="N28" s="23" t="s">
        <v>137</v>
      </c>
      <c r="O28" s="29" t="s">
        <v>23</v>
      </c>
      <c r="P28" s="29" t="s">
        <v>219</v>
      </c>
      <c r="Q28" s="22" t="s">
        <v>221</v>
      </c>
      <c r="R28" s="22" t="s">
        <v>222</v>
      </c>
      <c r="S28" s="22" t="s">
        <v>223</v>
      </c>
      <c r="T28" s="22" t="s">
        <v>224</v>
      </c>
      <c r="U28" s="28" t="s">
        <v>148</v>
      </c>
      <c r="V28" s="22" t="s">
        <v>217</v>
      </c>
    </row>
    <row r="29" spans="1:22" ht="25.5" x14ac:dyDescent="0.25">
      <c r="A29" s="17" t="s">
        <v>128</v>
      </c>
      <c r="B29" s="18" t="s">
        <v>214</v>
      </c>
      <c r="C29" s="17" t="s">
        <v>225</v>
      </c>
      <c r="D29" s="18">
        <v>3</v>
      </c>
      <c r="E29" s="17" t="s">
        <v>131</v>
      </c>
      <c r="F29" s="17" t="s">
        <v>132</v>
      </c>
      <c r="G29" s="17" t="s">
        <v>133</v>
      </c>
      <c r="H29" s="17" t="s">
        <v>134</v>
      </c>
      <c r="I29" s="17" t="s">
        <v>135</v>
      </c>
      <c r="J29" s="19" t="s">
        <v>136</v>
      </c>
      <c r="K29" s="19" t="s">
        <v>136</v>
      </c>
      <c r="L29" s="19" t="s">
        <v>136</v>
      </c>
      <c r="M29" s="17" t="s">
        <v>137</v>
      </c>
      <c r="N29" s="18" t="s">
        <v>137</v>
      </c>
      <c r="O29" s="20" t="s">
        <v>22</v>
      </c>
      <c r="P29" s="19" t="s">
        <v>136</v>
      </c>
      <c r="Q29" s="17" t="s">
        <v>138</v>
      </c>
      <c r="R29" s="17" t="s">
        <v>139</v>
      </c>
      <c r="S29" s="17" t="s">
        <v>140</v>
      </c>
      <c r="T29" s="17" t="s">
        <v>141</v>
      </c>
      <c r="U29" s="21" t="s">
        <v>136</v>
      </c>
      <c r="V29" s="17" t="s">
        <v>142</v>
      </c>
    </row>
    <row r="30" spans="1:22" ht="25.5" x14ac:dyDescent="0.25">
      <c r="A30" s="22" t="s">
        <v>128</v>
      </c>
      <c r="B30" s="23" t="s">
        <v>214</v>
      </c>
      <c r="C30" s="22" t="s">
        <v>226</v>
      </c>
      <c r="D30" s="23">
        <v>2</v>
      </c>
      <c r="E30" s="22" t="s">
        <v>190</v>
      </c>
      <c r="F30" s="22" t="s">
        <v>132</v>
      </c>
      <c r="G30" s="22" t="s">
        <v>133</v>
      </c>
      <c r="H30" s="22" t="s">
        <v>134</v>
      </c>
      <c r="I30" s="22" t="s">
        <v>135</v>
      </c>
      <c r="J30" s="19" t="s">
        <v>136</v>
      </c>
      <c r="K30" s="19" t="s">
        <v>136</v>
      </c>
      <c r="L30" s="19" t="s">
        <v>136</v>
      </c>
      <c r="M30" s="22" t="s">
        <v>137</v>
      </c>
      <c r="N30" s="23" t="s">
        <v>137</v>
      </c>
      <c r="O30" s="20" t="s">
        <v>22</v>
      </c>
      <c r="P30" s="19" t="s">
        <v>136</v>
      </c>
      <c r="Q30" s="22" t="s">
        <v>138</v>
      </c>
      <c r="R30" s="22" t="s">
        <v>139</v>
      </c>
      <c r="S30" s="22" t="s">
        <v>140</v>
      </c>
      <c r="T30" s="22" t="s">
        <v>141</v>
      </c>
      <c r="U30" s="25" t="s">
        <v>136</v>
      </c>
      <c r="V30" s="22" t="s">
        <v>142</v>
      </c>
    </row>
    <row r="31" spans="1:22" ht="51" x14ac:dyDescent="0.25">
      <c r="A31" s="17" t="s">
        <v>128</v>
      </c>
      <c r="B31" s="18" t="s">
        <v>214</v>
      </c>
      <c r="C31" s="17" t="s">
        <v>59</v>
      </c>
      <c r="D31" s="18">
        <v>2</v>
      </c>
      <c r="E31" s="17" t="s">
        <v>152</v>
      </c>
      <c r="F31" s="17" t="s">
        <v>227</v>
      </c>
      <c r="G31" s="17" t="s">
        <v>228</v>
      </c>
      <c r="H31" s="17" t="s">
        <v>229</v>
      </c>
      <c r="I31" s="17" t="s">
        <v>230</v>
      </c>
      <c r="J31" s="19" t="s">
        <v>136</v>
      </c>
      <c r="K31" s="19" t="s">
        <v>136</v>
      </c>
      <c r="L31" s="19" t="s">
        <v>136</v>
      </c>
      <c r="M31" s="43" t="s">
        <v>904</v>
      </c>
      <c r="N31" s="44" t="s">
        <v>291</v>
      </c>
      <c r="O31" s="27" t="s">
        <v>20</v>
      </c>
      <c r="P31" s="24" t="s">
        <v>148</v>
      </c>
      <c r="Q31" s="17" t="s">
        <v>232</v>
      </c>
      <c r="R31" s="17" t="s">
        <v>60</v>
      </c>
      <c r="S31" s="17" t="s">
        <v>233</v>
      </c>
      <c r="T31" s="17" t="s">
        <v>234</v>
      </c>
      <c r="U31" s="30" t="s">
        <v>54</v>
      </c>
      <c r="V31" s="17" t="s">
        <v>142</v>
      </c>
    </row>
    <row r="32" spans="1:22" ht="38.25" x14ac:dyDescent="0.25">
      <c r="A32" s="22" t="s">
        <v>128</v>
      </c>
      <c r="B32" s="23" t="s">
        <v>214</v>
      </c>
      <c r="C32" s="22" t="s">
        <v>66</v>
      </c>
      <c r="D32" s="23">
        <v>3</v>
      </c>
      <c r="E32" s="22" t="s">
        <v>152</v>
      </c>
      <c r="F32" s="22" t="s">
        <v>235</v>
      </c>
      <c r="G32" s="22" t="s">
        <v>236</v>
      </c>
      <c r="H32" s="22" t="s">
        <v>237</v>
      </c>
      <c r="I32" s="22" t="s">
        <v>238</v>
      </c>
      <c r="J32" s="19" t="s">
        <v>136</v>
      </c>
      <c r="K32" s="19" t="s">
        <v>136</v>
      </c>
      <c r="L32" s="19" t="s">
        <v>136</v>
      </c>
      <c r="M32" s="45" t="s">
        <v>950</v>
      </c>
      <c r="N32" s="44" t="s">
        <v>291</v>
      </c>
      <c r="O32" s="24" t="s">
        <v>21</v>
      </c>
      <c r="P32" s="24" t="s">
        <v>148</v>
      </c>
      <c r="Q32" s="22" t="s">
        <v>232</v>
      </c>
      <c r="R32" s="22" t="s">
        <v>67</v>
      </c>
      <c r="S32" s="22" t="s">
        <v>240</v>
      </c>
      <c r="T32" s="22" t="s">
        <v>241</v>
      </c>
      <c r="U32" s="31" t="s">
        <v>54</v>
      </c>
      <c r="V32" s="22" t="s">
        <v>142</v>
      </c>
    </row>
    <row r="33" spans="1:22" ht="25.5" x14ac:dyDescent="0.25">
      <c r="A33" s="17" t="s">
        <v>128</v>
      </c>
      <c r="B33" s="18" t="s">
        <v>214</v>
      </c>
      <c r="C33" s="17" t="s">
        <v>242</v>
      </c>
      <c r="D33" s="18">
        <v>2</v>
      </c>
      <c r="E33" s="17" t="s">
        <v>162</v>
      </c>
      <c r="F33" s="17" t="s">
        <v>163</v>
      </c>
      <c r="G33" s="17" t="s">
        <v>164</v>
      </c>
      <c r="H33" s="17" t="s">
        <v>165</v>
      </c>
      <c r="I33" s="17" t="s">
        <v>136</v>
      </c>
      <c r="J33" s="19" t="s">
        <v>136</v>
      </c>
      <c r="K33" s="19" t="s">
        <v>136</v>
      </c>
      <c r="L33" s="19" t="s">
        <v>136</v>
      </c>
      <c r="M33" s="17" t="s">
        <v>137</v>
      </c>
      <c r="N33" s="18" t="s">
        <v>137</v>
      </c>
      <c r="O33" s="20" t="s">
        <v>22</v>
      </c>
      <c r="P33" s="19" t="s">
        <v>136</v>
      </c>
      <c r="Q33" s="17" t="s">
        <v>138</v>
      </c>
      <c r="R33" s="17" t="s">
        <v>139</v>
      </c>
      <c r="S33" s="17" t="s">
        <v>166</v>
      </c>
      <c r="T33" s="17" t="s">
        <v>141</v>
      </c>
      <c r="U33" s="21" t="s">
        <v>136</v>
      </c>
      <c r="V33" s="17" t="s">
        <v>142</v>
      </c>
    </row>
    <row r="34" spans="1:22" ht="25.5" x14ac:dyDescent="0.25">
      <c r="A34" s="22" t="s">
        <v>128</v>
      </c>
      <c r="B34" s="23" t="s">
        <v>214</v>
      </c>
      <c r="C34" s="22" t="s">
        <v>243</v>
      </c>
      <c r="D34" s="23">
        <v>1</v>
      </c>
      <c r="E34" s="22" t="s">
        <v>162</v>
      </c>
      <c r="F34" s="22" t="s">
        <v>163</v>
      </c>
      <c r="G34" s="22" t="s">
        <v>164</v>
      </c>
      <c r="H34" s="22" t="s">
        <v>165</v>
      </c>
      <c r="I34" s="22" t="s">
        <v>136</v>
      </c>
      <c r="J34" s="19" t="s">
        <v>136</v>
      </c>
      <c r="K34" s="19" t="s">
        <v>136</v>
      </c>
      <c r="L34" s="19" t="s">
        <v>136</v>
      </c>
      <c r="M34" s="22" t="s">
        <v>137</v>
      </c>
      <c r="N34" s="23" t="s">
        <v>137</v>
      </c>
      <c r="O34" s="20" t="s">
        <v>22</v>
      </c>
      <c r="P34" s="19" t="s">
        <v>136</v>
      </c>
      <c r="Q34" s="22" t="s">
        <v>138</v>
      </c>
      <c r="R34" s="22" t="s">
        <v>139</v>
      </c>
      <c r="S34" s="22" t="s">
        <v>166</v>
      </c>
      <c r="T34" s="22" t="s">
        <v>141</v>
      </c>
      <c r="U34" s="25" t="s">
        <v>136</v>
      </c>
      <c r="V34" s="22" t="s">
        <v>142</v>
      </c>
    </row>
    <row r="35" spans="1:22" ht="25.5" x14ac:dyDescent="0.25">
      <c r="A35" s="17" t="s">
        <v>128</v>
      </c>
      <c r="B35" s="18" t="s">
        <v>214</v>
      </c>
      <c r="C35" s="17" t="s">
        <v>244</v>
      </c>
      <c r="D35" s="18">
        <v>2</v>
      </c>
      <c r="E35" s="17" t="s">
        <v>162</v>
      </c>
      <c r="F35" s="17" t="s">
        <v>176</v>
      </c>
      <c r="G35" s="17" t="s">
        <v>177</v>
      </c>
      <c r="H35" s="17" t="s">
        <v>178</v>
      </c>
      <c r="I35" s="17" t="s">
        <v>135</v>
      </c>
      <c r="J35" s="19" t="s">
        <v>136</v>
      </c>
      <c r="K35" s="19" t="s">
        <v>136</v>
      </c>
      <c r="L35" s="19" t="s">
        <v>136</v>
      </c>
      <c r="M35" s="17" t="s">
        <v>137</v>
      </c>
      <c r="N35" s="18" t="s">
        <v>137</v>
      </c>
      <c r="O35" s="20" t="s">
        <v>22</v>
      </c>
      <c r="P35" s="19" t="s">
        <v>136</v>
      </c>
      <c r="Q35" s="17" t="s">
        <v>138</v>
      </c>
      <c r="R35" s="17" t="s">
        <v>139</v>
      </c>
      <c r="S35" s="17" t="s">
        <v>179</v>
      </c>
      <c r="T35" s="17" t="s">
        <v>141</v>
      </c>
      <c r="U35" s="21" t="s">
        <v>136</v>
      </c>
      <c r="V35" s="17" t="s">
        <v>142</v>
      </c>
    </row>
    <row r="36" spans="1:22" ht="38.25" x14ac:dyDescent="0.25">
      <c r="A36" s="22" t="s">
        <v>128</v>
      </c>
      <c r="B36" s="23" t="s">
        <v>245</v>
      </c>
      <c r="C36" s="22" t="s">
        <v>246</v>
      </c>
      <c r="D36" s="23">
        <v>3</v>
      </c>
      <c r="E36" s="22" t="s">
        <v>190</v>
      </c>
      <c r="F36" s="22" t="s">
        <v>247</v>
      </c>
      <c r="G36" s="22" t="s">
        <v>248</v>
      </c>
      <c r="H36" s="22" t="s">
        <v>249</v>
      </c>
      <c r="I36" s="22" t="s">
        <v>250</v>
      </c>
      <c r="J36" s="19" t="s">
        <v>136</v>
      </c>
      <c r="K36" s="19" t="s">
        <v>136</v>
      </c>
      <c r="L36" s="19" t="s">
        <v>136</v>
      </c>
      <c r="M36" s="22" t="s">
        <v>137</v>
      </c>
      <c r="N36" s="23" t="s">
        <v>137</v>
      </c>
      <c r="O36" s="20" t="s">
        <v>22</v>
      </c>
      <c r="P36" s="27" t="s">
        <v>54</v>
      </c>
      <c r="Q36" s="22" t="s">
        <v>251</v>
      </c>
      <c r="R36" s="22" t="s">
        <v>252</v>
      </c>
      <c r="S36" s="22" t="s">
        <v>253</v>
      </c>
      <c r="T36" s="22" t="s">
        <v>241</v>
      </c>
      <c r="U36" s="28" t="s">
        <v>148</v>
      </c>
      <c r="V36" s="22" t="s">
        <v>142</v>
      </c>
    </row>
    <row r="37" spans="1:22" ht="25.5" x14ac:dyDescent="0.25">
      <c r="A37" s="17" t="s">
        <v>128</v>
      </c>
      <c r="B37" s="18" t="s">
        <v>245</v>
      </c>
      <c r="C37" s="17" t="s">
        <v>254</v>
      </c>
      <c r="D37" s="18">
        <v>2</v>
      </c>
      <c r="E37" s="17" t="s">
        <v>190</v>
      </c>
      <c r="F37" s="17" t="s">
        <v>255</v>
      </c>
      <c r="G37" s="17" t="s">
        <v>256</v>
      </c>
      <c r="H37" s="17" t="s">
        <v>257</v>
      </c>
      <c r="I37" s="17" t="s">
        <v>258</v>
      </c>
      <c r="J37" s="46" t="s">
        <v>136</v>
      </c>
      <c r="K37" s="19" t="s">
        <v>136</v>
      </c>
      <c r="L37" s="19" t="s">
        <v>136</v>
      </c>
      <c r="M37" s="22" t="s">
        <v>137</v>
      </c>
      <c r="N37" s="23" t="s">
        <v>137</v>
      </c>
      <c r="O37" s="20" t="s">
        <v>22</v>
      </c>
      <c r="P37" s="24" t="s">
        <v>148</v>
      </c>
      <c r="Q37" s="17" t="s">
        <v>259</v>
      </c>
      <c r="R37" s="17" t="s">
        <v>260</v>
      </c>
      <c r="S37" s="17" t="s">
        <v>261</v>
      </c>
      <c r="T37" s="17" t="s">
        <v>241</v>
      </c>
      <c r="U37" s="26" t="s">
        <v>148</v>
      </c>
      <c r="V37" s="17" t="s">
        <v>142</v>
      </c>
    </row>
    <row r="38" spans="1:22" ht="51" x14ac:dyDescent="0.25">
      <c r="A38" s="22" t="s">
        <v>128</v>
      </c>
      <c r="B38" s="23" t="s">
        <v>245</v>
      </c>
      <c r="C38" s="22" t="s">
        <v>262</v>
      </c>
      <c r="D38" s="23">
        <v>4</v>
      </c>
      <c r="E38" s="22" t="s">
        <v>152</v>
      </c>
      <c r="F38" s="22" t="s">
        <v>203</v>
      </c>
      <c r="G38" s="22" t="s">
        <v>263</v>
      </c>
      <c r="H38" s="22" t="s">
        <v>264</v>
      </c>
      <c r="I38" s="22" t="s">
        <v>265</v>
      </c>
      <c r="J38" s="19" t="s">
        <v>136</v>
      </c>
      <c r="K38" s="19" t="s">
        <v>136</v>
      </c>
      <c r="L38" s="19" t="s">
        <v>136</v>
      </c>
      <c r="M38" s="45" t="s">
        <v>951</v>
      </c>
      <c r="N38" s="23" t="s">
        <v>267</v>
      </c>
      <c r="O38" s="24" t="s">
        <v>21</v>
      </c>
      <c r="P38" s="27" t="s">
        <v>54</v>
      </c>
      <c r="Q38" s="22" t="s">
        <v>268</v>
      </c>
      <c r="R38" s="22" t="s">
        <v>269</v>
      </c>
      <c r="S38" s="22" t="s">
        <v>270</v>
      </c>
      <c r="T38" s="22" t="s">
        <v>241</v>
      </c>
      <c r="U38" s="31" t="s">
        <v>54</v>
      </c>
      <c r="V38" s="22" t="s">
        <v>142</v>
      </c>
    </row>
    <row r="39" spans="1:22" ht="51" x14ac:dyDescent="0.25">
      <c r="A39" s="17" t="s">
        <v>128</v>
      </c>
      <c r="B39" s="18" t="s">
        <v>245</v>
      </c>
      <c r="C39" s="17" t="s">
        <v>78</v>
      </c>
      <c r="D39" s="18">
        <v>2</v>
      </c>
      <c r="E39" s="17" t="s">
        <v>152</v>
      </c>
      <c r="F39" s="17" t="s">
        <v>271</v>
      </c>
      <c r="G39" s="17" t="s">
        <v>272</v>
      </c>
      <c r="H39" s="17" t="s">
        <v>273</v>
      </c>
      <c r="I39" s="17" t="s">
        <v>274</v>
      </c>
      <c r="J39" s="19" t="s">
        <v>136</v>
      </c>
      <c r="K39" s="19" t="s">
        <v>136</v>
      </c>
      <c r="L39" s="19" t="s">
        <v>136</v>
      </c>
      <c r="M39" s="43" t="s">
        <v>952</v>
      </c>
      <c r="N39" s="23" t="s">
        <v>267</v>
      </c>
      <c r="O39" s="27" t="s">
        <v>20</v>
      </c>
      <c r="P39" s="24" t="s">
        <v>148</v>
      </c>
      <c r="Q39" s="17" t="s">
        <v>232</v>
      </c>
      <c r="R39" s="17" t="s">
        <v>79</v>
      </c>
      <c r="S39" s="17" t="s">
        <v>276</v>
      </c>
      <c r="T39" s="17" t="s">
        <v>234</v>
      </c>
      <c r="U39" s="30" t="s">
        <v>54</v>
      </c>
      <c r="V39" s="17" t="s">
        <v>142</v>
      </c>
    </row>
    <row r="40" spans="1:22" ht="38.25" x14ac:dyDescent="0.25">
      <c r="A40" s="22" t="s">
        <v>128</v>
      </c>
      <c r="B40" s="23" t="s">
        <v>245</v>
      </c>
      <c r="C40" s="22" t="s">
        <v>63</v>
      </c>
      <c r="D40" s="23">
        <v>3</v>
      </c>
      <c r="E40" s="22" t="s">
        <v>152</v>
      </c>
      <c r="F40" s="22" t="s">
        <v>277</v>
      </c>
      <c r="G40" s="22" t="s">
        <v>278</v>
      </c>
      <c r="H40" s="22" t="s">
        <v>279</v>
      </c>
      <c r="I40" s="22" t="s">
        <v>280</v>
      </c>
      <c r="J40" s="19" t="s">
        <v>136</v>
      </c>
      <c r="K40" s="19" t="s">
        <v>136</v>
      </c>
      <c r="L40" s="19" t="s">
        <v>136</v>
      </c>
      <c r="M40" s="22" t="s">
        <v>137</v>
      </c>
      <c r="N40" s="23" t="s">
        <v>137</v>
      </c>
      <c r="O40" s="20" t="s">
        <v>22</v>
      </c>
      <c r="P40" s="24" t="s">
        <v>148</v>
      </c>
      <c r="Q40" s="22" t="s">
        <v>232</v>
      </c>
      <c r="R40" s="22" t="s">
        <v>64</v>
      </c>
      <c r="S40" s="22" t="s">
        <v>282</v>
      </c>
      <c r="T40" s="22" t="s">
        <v>234</v>
      </c>
      <c r="U40" s="31" t="s">
        <v>54</v>
      </c>
      <c r="V40" s="22" t="s">
        <v>142</v>
      </c>
    </row>
    <row r="41" spans="1:22" ht="25.5" x14ac:dyDescent="0.25">
      <c r="A41" s="17" t="s">
        <v>128</v>
      </c>
      <c r="B41" s="18" t="s">
        <v>245</v>
      </c>
      <c r="C41" s="17" t="s">
        <v>283</v>
      </c>
      <c r="D41" s="18">
        <v>2</v>
      </c>
      <c r="E41" s="17" t="s">
        <v>162</v>
      </c>
      <c r="F41" s="17" t="s">
        <v>163</v>
      </c>
      <c r="G41" s="17" t="s">
        <v>164</v>
      </c>
      <c r="H41" s="17" t="s">
        <v>165</v>
      </c>
      <c r="I41" s="17" t="s">
        <v>136</v>
      </c>
      <c r="J41" s="19" t="s">
        <v>136</v>
      </c>
      <c r="K41" s="19" t="s">
        <v>136</v>
      </c>
      <c r="L41" s="19" t="s">
        <v>136</v>
      </c>
      <c r="M41" s="17" t="s">
        <v>137</v>
      </c>
      <c r="N41" s="18" t="s">
        <v>137</v>
      </c>
      <c r="O41" s="20" t="s">
        <v>22</v>
      </c>
      <c r="P41" s="19" t="s">
        <v>136</v>
      </c>
      <c r="Q41" s="17" t="s">
        <v>138</v>
      </c>
      <c r="R41" s="17" t="s">
        <v>139</v>
      </c>
      <c r="S41" s="17" t="s">
        <v>166</v>
      </c>
      <c r="T41" s="17" t="s">
        <v>141</v>
      </c>
      <c r="U41" s="21" t="s">
        <v>136</v>
      </c>
      <c r="V41" s="17" t="s">
        <v>142</v>
      </c>
    </row>
    <row r="42" spans="1:22" ht="25.5" x14ac:dyDescent="0.25">
      <c r="A42" s="22" t="s">
        <v>128</v>
      </c>
      <c r="B42" s="23" t="s">
        <v>245</v>
      </c>
      <c r="C42" s="22" t="s">
        <v>284</v>
      </c>
      <c r="D42" s="23">
        <v>2</v>
      </c>
      <c r="E42" s="22" t="s">
        <v>162</v>
      </c>
      <c r="F42" s="22" t="s">
        <v>176</v>
      </c>
      <c r="G42" s="22" t="s">
        <v>177</v>
      </c>
      <c r="H42" s="22" t="s">
        <v>178</v>
      </c>
      <c r="I42" s="22" t="s">
        <v>135</v>
      </c>
      <c r="J42" s="19" t="s">
        <v>136</v>
      </c>
      <c r="K42" s="19" t="s">
        <v>136</v>
      </c>
      <c r="L42" s="19" t="s">
        <v>136</v>
      </c>
      <c r="M42" s="22" t="s">
        <v>137</v>
      </c>
      <c r="N42" s="23" t="s">
        <v>137</v>
      </c>
      <c r="O42" s="20" t="s">
        <v>22</v>
      </c>
      <c r="P42" s="19" t="s">
        <v>136</v>
      </c>
      <c r="Q42" s="22" t="s">
        <v>138</v>
      </c>
      <c r="R42" s="22" t="s">
        <v>139</v>
      </c>
      <c r="S42" s="22" t="s">
        <v>179</v>
      </c>
      <c r="T42" s="22" t="s">
        <v>141</v>
      </c>
      <c r="U42" s="25" t="s">
        <v>136</v>
      </c>
      <c r="V42" s="22" t="s">
        <v>142</v>
      </c>
    </row>
    <row r="43" spans="1:22" ht="51" x14ac:dyDescent="0.25">
      <c r="A43" s="17" t="s">
        <v>128</v>
      </c>
      <c r="B43" s="18" t="s">
        <v>285</v>
      </c>
      <c r="C43" s="17" t="s">
        <v>72</v>
      </c>
      <c r="D43" s="18">
        <v>3</v>
      </c>
      <c r="E43" s="17" t="s">
        <v>152</v>
      </c>
      <c r="F43" s="17" t="s">
        <v>286</v>
      </c>
      <c r="G43" s="17" t="s">
        <v>287</v>
      </c>
      <c r="H43" s="17" t="s">
        <v>288</v>
      </c>
      <c r="I43" s="17" t="s">
        <v>289</v>
      </c>
      <c r="J43" s="19" t="s">
        <v>136</v>
      </c>
      <c r="K43" s="27" t="s">
        <v>54</v>
      </c>
      <c r="L43" s="19" t="s">
        <v>136</v>
      </c>
      <c r="M43" s="22" t="s">
        <v>137</v>
      </c>
      <c r="N43" s="23" t="s">
        <v>137</v>
      </c>
      <c r="O43" s="20" t="s">
        <v>22</v>
      </c>
      <c r="P43" s="24" t="s">
        <v>148</v>
      </c>
      <c r="Q43" s="17" t="s">
        <v>232</v>
      </c>
      <c r="R43" s="17" t="s">
        <v>73</v>
      </c>
      <c r="S43" s="17" t="s">
        <v>292</v>
      </c>
      <c r="T43" s="17" t="s">
        <v>234</v>
      </c>
      <c r="U43" s="30" t="s">
        <v>54</v>
      </c>
      <c r="V43" s="17" t="s">
        <v>142</v>
      </c>
    </row>
    <row r="44" spans="1:22" ht="25.5" x14ac:dyDescent="0.25">
      <c r="A44" s="22" t="s">
        <v>128</v>
      </c>
      <c r="B44" s="23" t="s">
        <v>285</v>
      </c>
      <c r="C44" s="22" t="s">
        <v>293</v>
      </c>
      <c r="D44" s="23">
        <v>3</v>
      </c>
      <c r="E44" s="22" t="s">
        <v>152</v>
      </c>
      <c r="F44" s="22" t="s">
        <v>294</v>
      </c>
      <c r="G44" s="22" t="s">
        <v>295</v>
      </c>
      <c r="H44" s="22" t="s">
        <v>296</v>
      </c>
      <c r="I44" s="22" t="s">
        <v>297</v>
      </c>
      <c r="J44" s="19" t="s">
        <v>136</v>
      </c>
      <c r="K44" s="19" t="s">
        <v>136</v>
      </c>
      <c r="L44" s="19" t="s">
        <v>136</v>
      </c>
      <c r="M44" s="22" t="s">
        <v>137</v>
      </c>
      <c r="N44" s="23" t="s">
        <v>137</v>
      </c>
      <c r="O44" s="20" t="s">
        <v>22</v>
      </c>
      <c r="P44" s="27" t="s">
        <v>54</v>
      </c>
      <c r="Q44" s="22" t="s">
        <v>298</v>
      </c>
      <c r="R44" s="22" t="s">
        <v>299</v>
      </c>
      <c r="S44" s="22" t="s">
        <v>300</v>
      </c>
      <c r="T44" s="22" t="s">
        <v>210</v>
      </c>
      <c r="U44" s="28" t="s">
        <v>148</v>
      </c>
      <c r="V44" s="22" t="s">
        <v>142</v>
      </c>
    </row>
    <row r="45" spans="1:22" ht="38.25" x14ac:dyDescent="0.25">
      <c r="A45" s="17" t="s">
        <v>128</v>
      </c>
      <c r="B45" s="18" t="s">
        <v>285</v>
      </c>
      <c r="C45" s="17" t="s">
        <v>301</v>
      </c>
      <c r="D45" s="18">
        <v>3</v>
      </c>
      <c r="E45" s="17" t="s">
        <v>152</v>
      </c>
      <c r="F45" s="17" t="s">
        <v>302</v>
      </c>
      <c r="G45" s="17" t="s">
        <v>303</v>
      </c>
      <c r="H45" s="17" t="s">
        <v>304</v>
      </c>
      <c r="I45" s="17" t="s">
        <v>305</v>
      </c>
      <c r="J45" s="19" t="s">
        <v>136</v>
      </c>
      <c r="K45" s="19" t="s">
        <v>136</v>
      </c>
      <c r="L45" s="19" t="s">
        <v>136</v>
      </c>
      <c r="M45" s="22" t="s">
        <v>137</v>
      </c>
      <c r="N45" s="23" t="s">
        <v>137</v>
      </c>
      <c r="O45" s="20" t="s">
        <v>22</v>
      </c>
      <c r="P45" s="27" t="s">
        <v>54</v>
      </c>
      <c r="Q45" s="43" t="s">
        <v>953</v>
      </c>
      <c r="R45" s="17" t="s">
        <v>306</v>
      </c>
      <c r="S45" s="17" t="s">
        <v>307</v>
      </c>
      <c r="T45" s="17" t="s">
        <v>241</v>
      </c>
      <c r="U45" s="30" t="s">
        <v>54</v>
      </c>
      <c r="V45" s="17" t="s">
        <v>142</v>
      </c>
    </row>
    <row r="46" spans="1:22" ht="51" x14ac:dyDescent="0.25">
      <c r="A46" s="22" t="s">
        <v>128</v>
      </c>
      <c r="B46" s="23" t="s">
        <v>285</v>
      </c>
      <c r="C46" s="22" t="s">
        <v>57</v>
      </c>
      <c r="D46" s="23">
        <v>3</v>
      </c>
      <c r="E46" s="22" t="s">
        <v>152</v>
      </c>
      <c r="F46" s="22" t="s">
        <v>308</v>
      </c>
      <c r="G46" s="22" t="s">
        <v>309</v>
      </c>
      <c r="H46" s="22" t="s">
        <v>310</v>
      </c>
      <c r="I46" s="22" t="s">
        <v>311</v>
      </c>
      <c r="J46" s="19" t="s">
        <v>136</v>
      </c>
      <c r="K46" s="19" t="s">
        <v>136</v>
      </c>
      <c r="L46" s="27" t="s">
        <v>54</v>
      </c>
      <c r="M46" s="22" t="s">
        <v>137</v>
      </c>
      <c r="N46" s="23" t="s">
        <v>137</v>
      </c>
      <c r="O46" s="20" t="s">
        <v>22</v>
      </c>
      <c r="P46" s="19" t="s">
        <v>136</v>
      </c>
      <c r="Q46" s="22" t="s">
        <v>313</v>
      </c>
      <c r="R46" s="22" t="s">
        <v>28</v>
      </c>
      <c r="S46" s="22" t="s">
        <v>314</v>
      </c>
      <c r="T46" s="22" t="s">
        <v>234</v>
      </c>
      <c r="U46" s="31" t="s">
        <v>54</v>
      </c>
      <c r="V46" s="22" t="s">
        <v>142</v>
      </c>
    </row>
    <row r="47" spans="1:22" ht="38.25" x14ac:dyDescent="0.25">
      <c r="A47" s="17" t="s">
        <v>128</v>
      </c>
      <c r="B47" s="18" t="s">
        <v>285</v>
      </c>
      <c r="C47" s="17" t="s">
        <v>315</v>
      </c>
      <c r="D47" s="18">
        <v>3</v>
      </c>
      <c r="E47" s="17" t="s">
        <v>152</v>
      </c>
      <c r="F47" s="17" t="s">
        <v>316</v>
      </c>
      <c r="G47" s="17" t="s">
        <v>317</v>
      </c>
      <c r="H47" s="17" t="s">
        <v>318</v>
      </c>
      <c r="I47" s="17" t="s">
        <v>319</v>
      </c>
      <c r="J47" s="19" t="s">
        <v>136</v>
      </c>
      <c r="K47" s="19" t="s">
        <v>136</v>
      </c>
      <c r="L47" s="19" t="s">
        <v>136</v>
      </c>
      <c r="M47" s="22" t="s">
        <v>137</v>
      </c>
      <c r="N47" s="23" t="s">
        <v>137</v>
      </c>
      <c r="O47" s="20" t="s">
        <v>22</v>
      </c>
      <c r="P47" s="24" t="s">
        <v>148</v>
      </c>
      <c r="Q47" s="17" t="s">
        <v>157</v>
      </c>
      <c r="R47" s="17" t="s">
        <v>321</v>
      </c>
      <c r="S47" s="17" t="s">
        <v>322</v>
      </c>
      <c r="T47" s="17" t="s">
        <v>241</v>
      </c>
      <c r="U47" s="26" t="s">
        <v>148</v>
      </c>
      <c r="V47" s="17" t="s">
        <v>142</v>
      </c>
    </row>
    <row r="48" spans="1:22" ht="25.5" x14ac:dyDescent="0.25">
      <c r="A48" s="22" t="s">
        <v>128</v>
      </c>
      <c r="B48" s="23" t="s">
        <v>285</v>
      </c>
      <c r="C48" s="22" t="s">
        <v>323</v>
      </c>
      <c r="D48" s="23">
        <v>2</v>
      </c>
      <c r="E48" s="22" t="s">
        <v>152</v>
      </c>
      <c r="F48" s="22" t="s">
        <v>203</v>
      </c>
      <c r="G48" s="22" t="s">
        <v>324</v>
      </c>
      <c r="H48" s="22" t="s">
        <v>325</v>
      </c>
      <c r="I48" s="22" t="s">
        <v>326</v>
      </c>
      <c r="J48" s="19" t="s">
        <v>136</v>
      </c>
      <c r="K48" s="19" t="s">
        <v>136</v>
      </c>
      <c r="L48" s="19" t="s">
        <v>136</v>
      </c>
      <c r="M48" s="22" t="s">
        <v>137</v>
      </c>
      <c r="N48" s="23" t="s">
        <v>137</v>
      </c>
      <c r="O48" s="20" t="s">
        <v>22</v>
      </c>
      <c r="P48" s="27" t="s">
        <v>54</v>
      </c>
      <c r="Q48" s="22" t="s">
        <v>327</v>
      </c>
      <c r="R48" s="22" t="s">
        <v>328</v>
      </c>
      <c r="S48" s="22" t="s">
        <v>329</v>
      </c>
      <c r="T48" s="22" t="s">
        <v>160</v>
      </c>
      <c r="U48" s="28" t="s">
        <v>148</v>
      </c>
      <c r="V48" s="22" t="s">
        <v>142</v>
      </c>
    </row>
    <row r="49" spans="1:22" ht="25.5" x14ac:dyDescent="0.25">
      <c r="A49" s="17" t="s">
        <v>128</v>
      </c>
      <c r="B49" s="18" t="s">
        <v>285</v>
      </c>
      <c r="C49" s="17" t="s">
        <v>330</v>
      </c>
      <c r="D49" s="18">
        <v>2</v>
      </c>
      <c r="E49" s="17" t="s">
        <v>162</v>
      </c>
      <c r="F49" s="17" t="s">
        <v>176</v>
      </c>
      <c r="G49" s="17" t="s">
        <v>177</v>
      </c>
      <c r="H49" s="17" t="s">
        <v>178</v>
      </c>
      <c r="I49" s="17" t="s">
        <v>135</v>
      </c>
      <c r="J49" s="19" t="s">
        <v>136</v>
      </c>
      <c r="K49" s="19" t="s">
        <v>136</v>
      </c>
      <c r="L49" s="19" t="s">
        <v>136</v>
      </c>
      <c r="M49" s="17" t="s">
        <v>137</v>
      </c>
      <c r="N49" s="18" t="s">
        <v>137</v>
      </c>
      <c r="O49" s="20" t="s">
        <v>22</v>
      </c>
      <c r="P49" s="19" t="s">
        <v>136</v>
      </c>
      <c r="Q49" s="17" t="s">
        <v>138</v>
      </c>
      <c r="R49" s="17" t="s">
        <v>139</v>
      </c>
      <c r="S49" s="17" t="s">
        <v>179</v>
      </c>
      <c r="T49" s="17" t="s">
        <v>141</v>
      </c>
      <c r="U49" s="21" t="s">
        <v>136</v>
      </c>
      <c r="V49" s="17" t="s">
        <v>142</v>
      </c>
    </row>
    <row r="50" spans="1:22" ht="51" x14ac:dyDescent="0.25">
      <c r="A50" s="22" t="s">
        <v>128</v>
      </c>
      <c r="B50" s="23" t="s">
        <v>331</v>
      </c>
      <c r="C50" s="22" t="s">
        <v>332</v>
      </c>
      <c r="D50" s="23">
        <v>3</v>
      </c>
      <c r="E50" s="22" t="s">
        <v>190</v>
      </c>
      <c r="F50" s="22" t="s">
        <v>333</v>
      </c>
      <c r="G50" s="22" t="s">
        <v>334</v>
      </c>
      <c r="H50" s="22" t="s">
        <v>335</v>
      </c>
      <c r="I50" s="22" t="s">
        <v>336</v>
      </c>
      <c r="J50" s="19" t="s">
        <v>136</v>
      </c>
      <c r="K50" s="19" t="s">
        <v>136</v>
      </c>
      <c r="L50" s="19" t="s">
        <v>136</v>
      </c>
      <c r="M50" s="17" t="s">
        <v>137</v>
      </c>
      <c r="N50" s="18" t="s">
        <v>137</v>
      </c>
      <c r="O50" s="20" t="s">
        <v>22</v>
      </c>
      <c r="P50" s="27" t="s">
        <v>54</v>
      </c>
      <c r="Q50" s="22" t="s">
        <v>337</v>
      </c>
      <c r="R50" s="22" t="s">
        <v>338</v>
      </c>
      <c r="S50" s="22" t="s">
        <v>339</v>
      </c>
      <c r="T50" s="22" t="s">
        <v>241</v>
      </c>
      <c r="U50" s="31" t="s">
        <v>54</v>
      </c>
      <c r="V50" s="22" t="s">
        <v>142</v>
      </c>
    </row>
    <row r="51" spans="1:22" ht="38.25" x14ac:dyDescent="0.25">
      <c r="A51" s="17" t="s">
        <v>128</v>
      </c>
      <c r="B51" s="18" t="s">
        <v>331</v>
      </c>
      <c r="C51" s="17" t="s">
        <v>340</v>
      </c>
      <c r="D51" s="18">
        <v>2</v>
      </c>
      <c r="E51" s="17" t="s">
        <v>152</v>
      </c>
      <c r="F51" s="17" t="s">
        <v>341</v>
      </c>
      <c r="G51" s="17" t="s">
        <v>342</v>
      </c>
      <c r="H51" s="17" t="s">
        <v>343</v>
      </c>
      <c r="I51" s="17" t="s">
        <v>344</v>
      </c>
      <c r="J51" s="19" t="s">
        <v>136</v>
      </c>
      <c r="K51" s="19" t="s">
        <v>136</v>
      </c>
      <c r="L51" s="19" t="s">
        <v>136</v>
      </c>
      <c r="M51" s="17" t="s">
        <v>137</v>
      </c>
      <c r="N51" s="18" t="s">
        <v>137</v>
      </c>
      <c r="O51" s="20" t="s">
        <v>22</v>
      </c>
      <c r="P51" s="27" t="s">
        <v>54</v>
      </c>
      <c r="Q51" s="17" t="s">
        <v>346</v>
      </c>
      <c r="R51" s="17" t="s">
        <v>347</v>
      </c>
      <c r="S51" s="17" t="s">
        <v>348</v>
      </c>
      <c r="T51" s="17" t="s">
        <v>241</v>
      </c>
      <c r="U51" s="26" t="s">
        <v>148</v>
      </c>
      <c r="V51" s="17" t="s">
        <v>142</v>
      </c>
    </row>
    <row r="52" spans="1:22" ht="38.25" x14ac:dyDescent="0.25">
      <c r="A52" s="22" t="s">
        <v>128</v>
      </c>
      <c r="B52" s="23" t="s">
        <v>331</v>
      </c>
      <c r="C52" s="22" t="s">
        <v>349</v>
      </c>
      <c r="D52" s="23">
        <v>6</v>
      </c>
      <c r="E52" s="22" t="s">
        <v>152</v>
      </c>
      <c r="F52" s="22" t="s">
        <v>350</v>
      </c>
      <c r="G52" s="22" t="s">
        <v>351</v>
      </c>
      <c r="H52" s="22" t="s">
        <v>352</v>
      </c>
      <c r="I52" s="22" t="s">
        <v>353</v>
      </c>
      <c r="J52" s="19" t="s">
        <v>136</v>
      </c>
      <c r="K52" s="19" t="s">
        <v>136</v>
      </c>
      <c r="L52" s="19" t="s">
        <v>136</v>
      </c>
      <c r="M52" s="17" t="s">
        <v>137</v>
      </c>
      <c r="N52" s="18" t="s">
        <v>137</v>
      </c>
      <c r="O52" s="20" t="s">
        <v>22</v>
      </c>
      <c r="P52" s="19" t="s">
        <v>136</v>
      </c>
      <c r="Q52" s="22" t="s">
        <v>157</v>
      </c>
      <c r="R52" s="22" t="s">
        <v>354</v>
      </c>
      <c r="S52" s="22" t="s">
        <v>355</v>
      </c>
      <c r="T52" s="22" t="s">
        <v>160</v>
      </c>
      <c r="U52" s="28" t="s">
        <v>148</v>
      </c>
      <c r="V52" s="22" t="s">
        <v>142</v>
      </c>
    </row>
    <row r="53" spans="1:22" ht="38.25" x14ac:dyDescent="0.25">
      <c r="A53" s="17" t="s">
        <v>128</v>
      </c>
      <c r="B53" s="18" t="s">
        <v>331</v>
      </c>
      <c r="C53" s="17" t="s">
        <v>356</v>
      </c>
      <c r="D53" s="18">
        <v>3</v>
      </c>
      <c r="E53" s="17" t="s">
        <v>152</v>
      </c>
      <c r="F53" s="17" t="s">
        <v>216</v>
      </c>
      <c r="G53" s="17" t="s">
        <v>217</v>
      </c>
      <c r="H53" s="17" t="s">
        <v>217</v>
      </c>
      <c r="I53" s="17" t="s">
        <v>218</v>
      </c>
      <c r="J53" s="29" t="s">
        <v>219</v>
      </c>
      <c r="K53" s="29" t="s">
        <v>219</v>
      </c>
      <c r="L53" s="29" t="s">
        <v>219</v>
      </c>
      <c r="M53" s="17" t="s">
        <v>220</v>
      </c>
      <c r="N53" s="18" t="s">
        <v>137</v>
      </c>
      <c r="O53" s="29" t="s">
        <v>23</v>
      </c>
      <c r="P53" s="29" t="s">
        <v>219</v>
      </c>
      <c r="Q53" s="17" t="s">
        <v>221</v>
      </c>
      <c r="R53" s="17" t="s">
        <v>222</v>
      </c>
      <c r="S53" s="17" t="s">
        <v>223</v>
      </c>
      <c r="T53" s="17" t="s">
        <v>224</v>
      </c>
      <c r="U53" s="26" t="s">
        <v>148</v>
      </c>
      <c r="V53" s="17" t="s">
        <v>217</v>
      </c>
    </row>
    <row r="54" spans="1:22" ht="38.25" x14ac:dyDescent="0.25">
      <c r="A54" s="22" t="s">
        <v>128</v>
      </c>
      <c r="B54" s="23" t="s">
        <v>331</v>
      </c>
      <c r="C54" s="22" t="s">
        <v>357</v>
      </c>
      <c r="D54" s="23">
        <v>2</v>
      </c>
      <c r="E54" s="22" t="s">
        <v>152</v>
      </c>
      <c r="F54" s="22" t="s">
        <v>358</v>
      </c>
      <c r="G54" s="22" t="s">
        <v>359</v>
      </c>
      <c r="H54" s="22" t="s">
        <v>360</v>
      </c>
      <c r="I54" s="22" t="s">
        <v>361</v>
      </c>
      <c r="J54" s="19" t="s">
        <v>136</v>
      </c>
      <c r="K54" s="19" t="s">
        <v>136</v>
      </c>
      <c r="L54" s="19" t="s">
        <v>136</v>
      </c>
      <c r="M54" s="17" t="s">
        <v>137</v>
      </c>
      <c r="N54" s="18" t="s">
        <v>137</v>
      </c>
      <c r="O54" s="20" t="s">
        <v>22</v>
      </c>
      <c r="P54" s="24" t="s">
        <v>148</v>
      </c>
      <c r="Q54" s="22" t="s">
        <v>157</v>
      </c>
      <c r="R54" s="22" t="s">
        <v>28</v>
      </c>
      <c r="S54" s="22" t="s">
        <v>362</v>
      </c>
      <c r="T54" s="22" t="s">
        <v>234</v>
      </c>
      <c r="U54" s="31" t="s">
        <v>54</v>
      </c>
      <c r="V54" s="22" t="s">
        <v>142</v>
      </c>
    </row>
    <row r="55" spans="1:22" ht="25.5" x14ac:dyDescent="0.25">
      <c r="A55" s="17" t="s">
        <v>128</v>
      </c>
      <c r="B55" s="18" t="s">
        <v>331</v>
      </c>
      <c r="C55" s="17" t="s">
        <v>363</v>
      </c>
      <c r="D55" s="18">
        <v>2</v>
      </c>
      <c r="E55" s="17" t="s">
        <v>162</v>
      </c>
      <c r="F55" s="17" t="s">
        <v>176</v>
      </c>
      <c r="G55" s="17" t="s">
        <v>177</v>
      </c>
      <c r="H55" s="17" t="s">
        <v>178</v>
      </c>
      <c r="I55" s="17" t="s">
        <v>135</v>
      </c>
      <c r="J55" s="19" t="s">
        <v>136</v>
      </c>
      <c r="K55" s="19" t="s">
        <v>136</v>
      </c>
      <c r="L55" s="19" t="s">
        <v>136</v>
      </c>
      <c r="M55" s="17" t="s">
        <v>137</v>
      </c>
      <c r="N55" s="18" t="s">
        <v>137</v>
      </c>
      <c r="O55" s="20" t="s">
        <v>22</v>
      </c>
      <c r="P55" s="19" t="s">
        <v>136</v>
      </c>
      <c r="Q55" s="17" t="s">
        <v>138</v>
      </c>
      <c r="R55" s="17" t="s">
        <v>139</v>
      </c>
      <c r="S55" s="17" t="s">
        <v>179</v>
      </c>
      <c r="T55" s="17" t="s">
        <v>141</v>
      </c>
      <c r="U55" s="21" t="s">
        <v>136</v>
      </c>
      <c r="V55" s="17" t="s">
        <v>142</v>
      </c>
    </row>
    <row r="56" spans="1:22" ht="38.25" x14ac:dyDescent="0.25">
      <c r="A56" s="22" t="s">
        <v>128</v>
      </c>
      <c r="B56" s="23" t="s">
        <v>364</v>
      </c>
      <c r="C56" s="22" t="s">
        <v>365</v>
      </c>
      <c r="D56" s="23">
        <v>2</v>
      </c>
      <c r="E56" s="22" t="s">
        <v>152</v>
      </c>
      <c r="F56" s="22" t="s">
        <v>216</v>
      </c>
      <c r="G56" s="22" t="s">
        <v>217</v>
      </c>
      <c r="H56" s="22" t="s">
        <v>217</v>
      </c>
      <c r="I56" s="22" t="s">
        <v>218</v>
      </c>
      <c r="J56" s="29" t="s">
        <v>219</v>
      </c>
      <c r="K56" s="29" t="s">
        <v>219</v>
      </c>
      <c r="L56" s="29" t="s">
        <v>219</v>
      </c>
      <c r="M56" s="22" t="s">
        <v>220</v>
      </c>
      <c r="N56" s="23" t="s">
        <v>137</v>
      </c>
      <c r="O56" s="29" t="s">
        <v>23</v>
      </c>
      <c r="P56" s="29" t="s">
        <v>219</v>
      </c>
      <c r="Q56" s="22" t="s">
        <v>221</v>
      </c>
      <c r="R56" s="22" t="s">
        <v>222</v>
      </c>
      <c r="S56" s="22" t="s">
        <v>223</v>
      </c>
      <c r="T56" s="22" t="s">
        <v>224</v>
      </c>
      <c r="U56" s="28" t="s">
        <v>148</v>
      </c>
      <c r="V56" s="22" t="s">
        <v>217</v>
      </c>
    </row>
    <row r="57" spans="1:22" ht="38.25" x14ac:dyDescent="0.25">
      <c r="A57" s="17" t="s">
        <v>128</v>
      </c>
      <c r="B57" s="18" t="s">
        <v>364</v>
      </c>
      <c r="C57" s="17" t="s">
        <v>366</v>
      </c>
      <c r="D57" s="18">
        <v>2</v>
      </c>
      <c r="E57" s="17" t="s">
        <v>152</v>
      </c>
      <c r="F57" s="17" t="s">
        <v>216</v>
      </c>
      <c r="G57" s="17" t="s">
        <v>217</v>
      </c>
      <c r="H57" s="17" t="s">
        <v>217</v>
      </c>
      <c r="I57" s="17" t="s">
        <v>218</v>
      </c>
      <c r="J57" s="29" t="s">
        <v>219</v>
      </c>
      <c r="K57" s="29" t="s">
        <v>219</v>
      </c>
      <c r="L57" s="29" t="s">
        <v>219</v>
      </c>
      <c r="M57" s="17" t="s">
        <v>220</v>
      </c>
      <c r="N57" s="18" t="s">
        <v>137</v>
      </c>
      <c r="O57" s="29" t="s">
        <v>23</v>
      </c>
      <c r="P57" s="29" t="s">
        <v>219</v>
      </c>
      <c r="Q57" s="17" t="s">
        <v>221</v>
      </c>
      <c r="R57" s="17" t="s">
        <v>222</v>
      </c>
      <c r="S57" s="17" t="s">
        <v>223</v>
      </c>
      <c r="T57" s="17" t="s">
        <v>224</v>
      </c>
      <c r="U57" s="26" t="s">
        <v>148</v>
      </c>
      <c r="V57" s="17" t="s">
        <v>217</v>
      </c>
    </row>
    <row r="58" spans="1:22" ht="38.25" x14ac:dyDescent="0.25">
      <c r="A58" s="22" t="s">
        <v>128</v>
      </c>
      <c r="B58" s="23" t="s">
        <v>364</v>
      </c>
      <c r="C58" s="22" t="s">
        <v>367</v>
      </c>
      <c r="D58" s="23">
        <v>2</v>
      </c>
      <c r="E58" s="22" t="s">
        <v>152</v>
      </c>
      <c r="F58" s="22" t="s">
        <v>216</v>
      </c>
      <c r="G58" s="22" t="s">
        <v>217</v>
      </c>
      <c r="H58" s="22" t="s">
        <v>217</v>
      </c>
      <c r="I58" s="22" t="s">
        <v>218</v>
      </c>
      <c r="J58" s="29" t="s">
        <v>219</v>
      </c>
      <c r="K58" s="29" t="s">
        <v>219</v>
      </c>
      <c r="L58" s="29" t="s">
        <v>219</v>
      </c>
      <c r="M58" s="22" t="s">
        <v>220</v>
      </c>
      <c r="N58" s="23" t="s">
        <v>137</v>
      </c>
      <c r="O58" s="29" t="s">
        <v>23</v>
      </c>
      <c r="P58" s="29" t="s">
        <v>219</v>
      </c>
      <c r="Q58" s="22" t="s">
        <v>221</v>
      </c>
      <c r="R58" s="22" t="s">
        <v>222</v>
      </c>
      <c r="S58" s="22" t="s">
        <v>223</v>
      </c>
      <c r="T58" s="22" t="s">
        <v>224</v>
      </c>
      <c r="U58" s="28" t="s">
        <v>148</v>
      </c>
      <c r="V58" s="22" t="s">
        <v>217</v>
      </c>
    </row>
    <row r="59" spans="1:22" ht="38.25" x14ac:dyDescent="0.25">
      <c r="A59" s="17" t="s">
        <v>128</v>
      </c>
      <c r="B59" s="18" t="s">
        <v>364</v>
      </c>
      <c r="C59" s="17" t="s">
        <v>368</v>
      </c>
      <c r="D59" s="18">
        <v>3</v>
      </c>
      <c r="E59" s="17" t="s">
        <v>152</v>
      </c>
      <c r="F59" s="17" t="s">
        <v>216</v>
      </c>
      <c r="G59" s="17" t="s">
        <v>217</v>
      </c>
      <c r="H59" s="17" t="s">
        <v>217</v>
      </c>
      <c r="I59" s="17" t="s">
        <v>218</v>
      </c>
      <c r="J59" s="29" t="s">
        <v>219</v>
      </c>
      <c r="K59" s="29" t="s">
        <v>219</v>
      </c>
      <c r="L59" s="29" t="s">
        <v>219</v>
      </c>
      <c r="M59" s="17" t="s">
        <v>220</v>
      </c>
      <c r="N59" s="18" t="s">
        <v>137</v>
      </c>
      <c r="O59" s="29" t="s">
        <v>23</v>
      </c>
      <c r="P59" s="29" t="s">
        <v>219</v>
      </c>
      <c r="Q59" s="17" t="s">
        <v>221</v>
      </c>
      <c r="R59" s="17" t="s">
        <v>222</v>
      </c>
      <c r="S59" s="17" t="s">
        <v>223</v>
      </c>
      <c r="T59" s="17" t="s">
        <v>224</v>
      </c>
      <c r="U59" s="26" t="s">
        <v>148</v>
      </c>
      <c r="V59" s="17" t="s">
        <v>217</v>
      </c>
    </row>
    <row r="60" spans="1:22" ht="38.25" x14ac:dyDescent="0.25">
      <c r="A60" s="22" t="s">
        <v>128</v>
      </c>
      <c r="B60" s="23" t="s">
        <v>364</v>
      </c>
      <c r="C60" s="22" t="s">
        <v>369</v>
      </c>
      <c r="D60" s="23">
        <v>3</v>
      </c>
      <c r="E60" s="22" t="s">
        <v>152</v>
      </c>
      <c r="F60" s="22" t="s">
        <v>358</v>
      </c>
      <c r="G60" s="22" t="s">
        <v>359</v>
      </c>
      <c r="H60" s="22" t="s">
        <v>360</v>
      </c>
      <c r="I60" s="22" t="s">
        <v>361</v>
      </c>
      <c r="J60" s="19" t="s">
        <v>136</v>
      </c>
      <c r="K60" s="19" t="s">
        <v>136</v>
      </c>
      <c r="L60" s="19" t="s">
        <v>136</v>
      </c>
      <c r="M60" s="17" t="s">
        <v>137</v>
      </c>
      <c r="N60" s="18" t="s">
        <v>137</v>
      </c>
      <c r="O60" s="20" t="s">
        <v>22</v>
      </c>
      <c r="P60" s="24" t="s">
        <v>148</v>
      </c>
      <c r="Q60" s="22" t="s">
        <v>157</v>
      </c>
      <c r="R60" s="22" t="s">
        <v>28</v>
      </c>
      <c r="S60" s="22" t="s">
        <v>362</v>
      </c>
      <c r="T60" s="22" t="s">
        <v>234</v>
      </c>
      <c r="U60" s="31" t="s">
        <v>54</v>
      </c>
      <c r="V60" s="22" t="s">
        <v>142</v>
      </c>
    </row>
    <row r="61" spans="1:22" ht="38.25" x14ac:dyDescent="0.25">
      <c r="A61" s="17" t="s">
        <v>128</v>
      </c>
      <c r="B61" s="18" t="s">
        <v>364</v>
      </c>
      <c r="C61" s="17" t="s">
        <v>370</v>
      </c>
      <c r="D61" s="18">
        <v>2</v>
      </c>
      <c r="E61" s="17" t="s">
        <v>162</v>
      </c>
      <c r="F61" s="17" t="s">
        <v>216</v>
      </c>
      <c r="G61" s="17" t="s">
        <v>217</v>
      </c>
      <c r="H61" s="17" t="s">
        <v>217</v>
      </c>
      <c r="I61" s="17" t="s">
        <v>218</v>
      </c>
      <c r="J61" s="29" t="s">
        <v>219</v>
      </c>
      <c r="K61" s="29" t="s">
        <v>219</v>
      </c>
      <c r="L61" s="29" t="s">
        <v>219</v>
      </c>
      <c r="M61" s="17" t="s">
        <v>220</v>
      </c>
      <c r="N61" s="18" t="s">
        <v>137</v>
      </c>
      <c r="O61" s="29" t="s">
        <v>23</v>
      </c>
      <c r="P61" s="29" t="s">
        <v>219</v>
      </c>
      <c r="Q61" s="17" t="s">
        <v>221</v>
      </c>
      <c r="R61" s="17" t="s">
        <v>222</v>
      </c>
      <c r="S61" s="17" t="s">
        <v>223</v>
      </c>
      <c r="T61" s="17" t="s">
        <v>224</v>
      </c>
      <c r="U61" s="26" t="s">
        <v>148</v>
      </c>
      <c r="V61" s="17" t="s">
        <v>217</v>
      </c>
    </row>
    <row r="62" spans="1:22" ht="25.5" x14ac:dyDescent="0.25">
      <c r="A62" s="22" t="s">
        <v>128</v>
      </c>
      <c r="B62" s="23" t="s">
        <v>364</v>
      </c>
      <c r="C62" s="22" t="s">
        <v>371</v>
      </c>
      <c r="D62" s="23">
        <v>2</v>
      </c>
      <c r="E62" s="22" t="s">
        <v>162</v>
      </c>
      <c r="F62" s="22" t="s">
        <v>176</v>
      </c>
      <c r="G62" s="22" t="s">
        <v>177</v>
      </c>
      <c r="H62" s="22" t="s">
        <v>178</v>
      </c>
      <c r="I62" s="22" t="s">
        <v>135</v>
      </c>
      <c r="J62" s="19" t="s">
        <v>136</v>
      </c>
      <c r="K62" s="19" t="s">
        <v>136</v>
      </c>
      <c r="L62" s="19" t="s">
        <v>136</v>
      </c>
      <c r="M62" s="22" t="s">
        <v>137</v>
      </c>
      <c r="N62" s="23" t="s">
        <v>137</v>
      </c>
      <c r="O62" s="20" t="s">
        <v>22</v>
      </c>
      <c r="P62" s="19" t="s">
        <v>136</v>
      </c>
      <c r="Q62" s="22" t="s">
        <v>138</v>
      </c>
      <c r="R62" s="22" t="s">
        <v>139</v>
      </c>
      <c r="S62" s="22" t="s">
        <v>179</v>
      </c>
      <c r="T62" s="22" t="s">
        <v>141</v>
      </c>
      <c r="U62" s="25" t="s">
        <v>136</v>
      </c>
      <c r="V62" s="22" t="s">
        <v>142</v>
      </c>
    </row>
    <row r="64" spans="1:22" x14ac:dyDescent="0.25">
      <c r="A64" s="53" t="s">
        <v>372</v>
      </c>
      <c r="B64" s="53"/>
      <c r="C64" s="53"/>
      <c r="D64" s="53"/>
      <c r="E64" s="53"/>
      <c r="F64" s="53"/>
      <c r="G64" s="53"/>
      <c r="H64" s="53"/>
      <c r="I64" s="53"/>
      <c r="J64" s="53"/>
      <c r="K64" s="53"/>
      <c r="L64" s="53"/>
      <c r="M64" s="53"/>
      <c r="N64" s="53"/>
      <c r="O64" s="53"/>
      <c r="P64" s="53"/>
      <c r="Q64" s="53"/>
      <c r="R64" s="53"/>
      <c r="S64" s="53"/>
      <c r="T64" s="53"/>
      <c r="U64" s="53"/>
      <c r="V64" s="53"/>
    </row>
  </sheetData>
  <autoFilter ref="A4:V62" xr:uid="{00000000-0009-0000-0000-000001000000}"/>
  <mergeCells count="3">
    <mergeCell ref="A1:V1"/>
    <mergeCell ref="A2:V2"/>
    <mergeCell ref="A64:V6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0"/>
  <sheetViews>
    <sheetView showGridLines="0" zoomScaleNormal="100" workbookViewId="0">
      <pane xSplit="3" ySplit="4" topLeftCell="I51" activePane="bottomRight" state="frozen"/>
      <selection pane="topRight" activeCell="D1" sqref="D1"/>
      <selection pane="bottomLeft" activeCell="A5" sqref="A5"/>
      <selection pane="bottomRight" activeCell="C54" sqref="C54"/>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373</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374</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375</v>
      </c>
      <c r="B5" s="18" t="s">
        <v>129</v>
      </c>
      <c r="C5" s="17" t="s">
        <v>376</v>
      </c>
      <c r="D5" s="18">
        <v>3</v>
      </c>
      <c r="E5" s="17" t="s">
        <v>217</v>
      </c>
      <c r="F5" s="17" t="s">
        <v>132</v>
      </c>
      <c r="G5" s="17" t="s">
        <v>133</v>
      </c>
      <c r="H5" s="17" t="s">
        <v>134</v>
      </c>
      <c r="I5" s="17" t="s">
        <v>135</v>
      </c>
      <c r="J5" s="19" t="s">
        <v>136</v>
      </c>
      <c r="K5" s="19" t="s">
        <v>136</v>
      </c>
      <c r="L5" s="19" t="s">
        <v>136</v>
      </c>
      <c r="M5" s="17" t="s">
        <v>137</v>
      </c>
      <c r="N5" s="18" t="s">
        <v>137</v>
      </c>
      <c r="O5" s="20" t="s">
        <v>22</v>
      </c>
      <c r="P5" s="19" t="s">
        <v>136</v>
      </c>
      <c r="Q5" s="17" t="s">
        <v>138</v>
      </c>
      <c r="R5" s="17" t="s">
        <v>139</v>
      </c>
      <c r="S5" s="17" t="s">
        <v>140</v>
      </c>
      <c r="T5" s="17" t="s">
        <v>141</v>
      </c>
      <c r="U5" s="21" t="s">
        <v>136</v>
      </c>
      <c r="V5" s="17" t="s">
        <v>142</v>
      </c>
    </row>
    <row r="6" spans="1:22" ht="25.5" x14ac:dyDescent="0.25">
      <c r="A6" s="22" t="s">
        <v>375</v>
      </c>
      <c r="B6" s="23" t="s">
        <v>129</v>
      </c>
      <c r="C6" s="22" t="s">
        <v>377</v>
      </c>
      <c r="D6" s="23">
        <v>3</v>
      </c>
      <c r="E6" s="22" t="s">
        <v>217</v>
      </c>
      <c r="F6" s="22" t="s">
        <v>132</v>
      </c>
      <c r="G6" s="22" t="s">
        <v>133</v>
      </c>
      <c r="H6" s="22" t="s">
        <v>134</v>
      </c>
      <c r="I6" s="22" t="s">
        <v>135</v>
      </c>
      <c r="J6" s="19" t="s">
        <v>136</v>
      </c>
      <c r="K6" s="19" t="s">
        <v>136</v>
      </c>
      <c r="L6" s="19" t="s">
        <v>136</v>
      </c>
      <c r="M6" s="22" t="s">
        <v>137</v>
      </c>
      <c r="N6" s="23" t="s">
        <v>137</v>
      </c>
      <c r="O6" s="20" t="s">
        <v>22</v>
      </c>
      <c r="P6" s="19" t="s">
        <v>136</v>
      </c>
      <c r="Q6" s="22" t="s">
        <v>138</v>
      </c>
      <c r="R6" s="22" t="s">
        <v>139</v>
      </c>
      <c r="S6" s="22" t="s">
        <v>140</v>
      </c>
      <c r="T6" s="22" t="s">
        <v>141</v>
      </c>
      <c r="U6" s="25" t="s">
        <v>136</v>
      </c>
      <c r="V6" s="22" t="s">
        <v>142</v>
      </c>
    </row>
    <row r="7" spans="1:22" ht="25.5" x14ac:dyDescent="0.25">
      <c r="A7" s="17" t="s">
        <v>375</v>
      </c>
      <c r="B7" s="18" t="s">
        <v>129</v>
      </c>
      <c r="C7" s="17" t="s">
        <v>378</v>
      </c>
      <c r="D7" s="18">
        <v>4</v>
      </c>
      <c r="E7" s="17" t="s">
        <v>217</v>
      </c>
      <c r="F7" s="17" t="s">
        <v>379</v>
      </c>
      <c r="G7" s="17" t="s">
        <v>380</v>
      </c>
      <c r="H7" s="17" t="s">
        <v>381</v>
      </c>
      <c r="I7" s="17" t="s">
        <v>135</v>
      </c>
      <c r="J7" s="19" t="s">
        <v>136</v>
      </c>
      <c r="K7" s="19" t="s">
        <v>136</v>
      </c>
      <c r="L7" s="19" t="s">
        <v>136</v>
      </c>
      <c r="M7" s="43" t="s">
        <v>137</v>
      </c>
      <c r="N7" s="18" t="s">
        <v>137</v>
      </c>
      <c r="O7" s="20" t="s">
        <v>22</v>
      </c>
      <c r="P7" s="19" t="s">
        <v>136</v>
      </c>
      <c r="Q7" s="17" t="s">
        <v>138</v>
      </c>
      <c r="R7" s="17" t="s">
        <v>139</v>
      </c>
      <c r="S7" s="17" t="s">
        <v>382</v>
      </c>
      <c r="T7" s="17" t="s">
        <v>141</v>
      </c>
      <c r="U7" s="21" t="s">
        <v>136</v>
      </c>
      <c r="V7" s="17" t="s">
        <v>142</v>
      </c>
    </row>
    <row r="8" spans="1:22" ht="51" x14ac:dyDescent="0.25">
      <c r="A8" s="22" t="s">
        <v>375</v>
      </c>
      <c r="B8" s="23" t="s">
        <v>129</v>
      </c>
      <c r="C8" s="22" t="s">
        <v>151</v>
      </c>
      <c r="D8" s="23">
        <v>3</v>
      </c>
      <c r="E8" s="22" t="s">
        <v>217</v>
      </c>
      <c r="F8" s="22" t="s">
        <v>153</v>
      </c>
      <c r="G8" s="22" t="s">
        <v>154</v>
      </c>
      <c r="H8" s="22" t="s">
        <v>155</v>
      </c>
      <c r="I8" s="22" t="s">
        <v>156</v>
      </c>
      <c r="J8" s="19" t="s">
        <v>136</v>
      </c>
      <c r="K8" s="19" t="s">
        <v>136</v>
      </c>
      <c r="L8" s="19" t="s">
        <v>136</v>
      </c>
      <c r="M8" s="43" t="s">
        <v>137</v>
      </c>
      <c r="N8" s="18" t="s">
        <v>137</v>
      </c>
      <c r="O8" s="20" t="s">
        <v>22</v>
      </c>
      <c r="P8" s="24" t="s">
        <v>148</v>
      </c>
      <c r="Q8" s="22" t="s">
        <v>157</v>
      </c>
      <c r="R8" s="22" t="s">
        <v>158</v>
      </c>
      <c r="S8" s="22" t="s">
        <v>159</v>
      </c>
      <c r="T8" s="22" t="s">
        <v>160</v>
      </c>
      <c r="U8" s="28" t="s">
        <v>148</v>
      </c>
      <c r="V8" s="22" t="s">
        <v>142</v>
      </c>
    </row>
    <row r="9" spans="1:22" ht="25.5" x14ac:dyDescent="0.25">
      <c r="A9" s="17" t="s">
        <v>375</v>
      </c>
      <c r="B9" s="18" t="s">
        <v>129</v>
      </c>
      <c r="C9" s="17" t="s">
        <v>383</v>
      </c>
      <c r="D9" s="18">
        <v>2</v>
      </c>
      <c r="E9" s="17" t="s">
        <v>217</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375</v>
      </c>
      <c r="B10" s="23" t="s">
        <v>129</v>
      </c>
      <c r="C10" s="22" t="s">
        <v>384</v>
      </c>
      <c r="D10" s="23">
        <v>1</v>
      </c>
      <c r="E10" s="22" t="s">
        <v>217</v>
      </c>
      <c r="F10" s="22" t="s">
        <v>385</v>
      </c>
      <c r="G10" s="22" t="s">
        <v>386</v>
      </c>
      <c r="H10" s="22" t="s">
        <v>387</v>
      </c>
      <c r="I10" s="22" t="s">
        <v>135</v>
      </c>
      <c r="J10" s="19" t="s">
        <v>136</v>
      </c>
      <c r="K10" s="19" t="s">
        <v>136</v>
      </c>
      <c r="L10" s="19" t="s">
        <v>136</v>
      </c>
      <c r="M10" s="22" t="s">
        <v>137</v>
      </c>
      <c r="N10" s="23" t="s">
        <v>137</v>
      </c>
      <c r="O10" s="20" t="s">
        <v>22</v>
      </c>
      <c r="P10" s="19" t="s">
        <v>136</v>
      </c>
      <c r="Q10" s="22" t="s">
        <v>138</v>
      </c>
      <c r="R10" s="22" t="s">
        <v>139</v>
      </c>
      <c r="S10" s="22" t="s">
        <v>388</v>
      </c>
      <c r="T10" s="22" t="s">
        <v>141</v>
      </c>
      <c r="U10" s="25" t="s">
        <v>136</v>
      </c>
      <c r="V10" s="22" t="s">
        <v>142</v>
      </c>
    </row>
    <row r="11" spans="1:22" ht="25.5" x14ac:dyDescent="0.25">
      <c r="A11" s="17" t="s">
        <v>375</v>
      </c>
      <c r="B11" s="18" t="s">
        <v>129</v>
      </c>
      <c r="C11" s="17" t="s">
        <v>389</v>
      </c>
      <c r="D11" s="18">
        <v>2</v>
      </c>
      <c r="E11" s="17" t="s">
        <v>217</v>
      </c>
      <c r="F11" s="17" t="s">
        <v>385</v>
      </c>
      <c r="G11" s="17" t="s">
        <v>386</v>
      </c>
      <c r="H11" s="17" t="s">
        <v>387</v>
      </c>
      <c r="I11" s="17" t="s">
        <v>135</v>
      </c>
      <c r="J11" s="19" t="s">
        <v>136</v>
      </c>
      <c r="K11" s="19" t="s">
        <v>136</v>
      </c>
      <c r="L11" s="19" t="s">
        <v>136</v>
      </c>
      <c r="M11" s="17" t="s">
        <v>137</v>
      </c>
      <c r="N11" s="18" t="s">
        <v>137</v>
      </c>
      <c r="O11" s="20" t="s">
        <v>22</v>
      </c>
      <c r="P11" s="19" t="s">
        <v>136</v>
      </c>
      <c r="Q11" s="17" t="s">
        <v>138</v>
      </c>
      <c r="R11" s="17" t="s">
        <v>139</v>
      </c>
      <c r="S11" s="17" t="s">
        <v>388</v>
      </c>
      <c r="T11" s="17" t="s">
        <v>141</v>
      </c>
      <c r="U11" s="21" t="s">
        <v>136</v>
      </c>
      <c r="V11" s="17" t="s">
        <v>142</v>
      </c>
    </row>
    <row r="12" spans="1:22" ht="25.5" x14ac:dyDescent="0.25">
      <c r="A12" s="22" t="s">
        <v>375</v>
      </c>
      <c r="B12" s="23" t="s">
        <v>129</v>
      </c>
      <c r="C12" s="22" t="s">
        <v>175</v>
      </c>
      <c r="D12" s="23">
        <v>0</v>
      </c>
      <c r="E12" s="22" t="s">
        <v>217</v>
      </c>
      <c r="F12" s="22" t="s">
        <v>176</v>
      </c>
      <c r="G12" s="22" t="s">
        <v>177</v>
      </c>
      <c r="H12" s="22" t="s">
        <v>178</v>
      </c>
      <c r="I12" s="22" t="s">
        <v>135</v>
      </c>
      <c r="J12" s="19" t="s">
        <v>136</v>
      </c>
      <c r="K12" s="19" t="s">
        <v>136</v>
      </c>
      <c r="L12" s="19" t="s">
        <v>136</v>
      </c>
      <c r="M12" s="22" t="s">
        <v>137</v>
      </c>
      <c r="N12" s="23" t="s">
        <v>137</v>
      </c>
      <c r="O12" s="20" t="s">
        <v>22</v>
      </c>
      <c r="P12" s="19" t="s">
        <v>136</v>
      </c>
      <c r="Q12" s="22" t="s">
        <v>138</v>
      </c>
      <c r="R12" s="22" t="s">
        <v>139</v>
      </c>
      <c r="S12" s="22" t="s">
        <v>179</v>
      </c>
      <c r="T12" s="22" t="s">
        <v>141</v>
      </c>
      <c r="U12" s="25" t="s">
        <v>136</v>
      </c>
      <c r="V12" s="22" t="s">
        <v>142</v>
      </c>
    </row>
    <row r="13" spans="1:22" ht="25.5" x14ac:dyDescent="0.25">
      <c r="A13" s="17" t="s">
        <v>375</v>
      </c>
      <c r="B13" s="18" t="s">
        <v>180</v>
      </c>
      <c r="C13" s="17" t="s">
        <v>390</v>
      </c>
      <c r="D13" s="18">
        <v>4</v>
      </c>
      <c r="E13" s="17" t="s">
        <v>217</v>
      </c>
      <c r="F13" s="17" t="s">
        <v>132</v>
      </c>
      <c r="G13" s="17" t="s">
        <v>133</v>
      </c>
      <c r="H13" s="17" t="s">
        <v>134</v>
      </c>
      <c r="I13" s="17" t="s">
        <v>135</v>
      </c>
      <c r="J13" s="19" t="s">
        <v>136</v>
      </c>
      <c r="K13" s="19" t="s">
        <v>136</v>
      </c>
      <c r="L13" s="19" t="s">
        <v>136</v>
      </c>
      <c r="M13" s="17" t="s">
        <v>137</v>
      </c>
      <c r="N13" s="18" t="s">
        <v>137</v>
      </c>
      <c r="O13" s="20" t="s">
        <v>22</v>
      </c>
      <c r="P13" s="19" t="s">
        <v>136</v>
      </c>
      <c r="Q13" s="17" t="s">
        <v>138</v>
      </c>
      <c r="R13" s="17" t="s">
        <v>139</v>
      </c>
      <c r="S13" s="17" t="s">
        <v>140</v>
      </c>
      <c r="T13" s="17" t="s">
        <v>141</v>
      </c>
      <c r="U13" s="21" t="s">
        <v>136</v>
      </c>
      <c r="V13" s="17" t="s">
        <v>142</v>
      </c>
    </row>
    <row r="14" spans="1:22" ht="25.5" x14ac:dyDescent="0.25">
      <c r="A14" s="22" t="s">
        <v>375</v>
      </c>
      <c r="B14" s="23" t="s">
        <v>180</v>
      </c>
      <c r="C14" s="22" t="s">
        <v>391</v>
      </c>
      <c r="D14" s="23">
        <v>3</v>
      </c>
      <c r="E14" s="22" t="s">
        <v>217</v>
      </c>
      <c r="F14" s="22" t="s">
        <v>132</v>
      </c>
      <c r="G14" s="22" t="s">
        <v>133</v>
      </c>
      <c r="H14" s="22" t="s">
        <v>134</v>
      </c>
      <c r="I14" s="22" t="s">
        <v>135</v>
      </c>
      <c r="J14" s="19" t="s">
        <v>136</v>
      </c>
      <c r="K14" s="19" t="s">
        <v>136</v>
      </c>
      <c r="L14" s="19" t="s">
        <v>136</v>
      </c>
      <c r="M14" s="22" t="s">
        <v>137</v>
      </c>
      <c r="N14" s="23" t="s">
        <v>137</v>
      </c>
      <c r="O14" s="20" t="s">
        <v>22</v>
      </c>
      <c r="P14" s="19" t="s">
        <v>136</v>
      </c>
      <c r="Q14" s="22" t="s">
        <v>138</v>
      </c>
      <c r="R14" s="22" t="s">
        <v>139</v>
      </c>
      <c r="S14" s="22" t="s">
        <v>140</v>
      </c>
      <c r="T14" s="22" t="s">
        <v>141</v>
      </c>
      <c r="U14" s="25" t="s">
        <v>136</v>
      </c>
      <c r="V14" s="22" t="s">
        <v>142</v>
      </c>
    </row>
    <row r="15" spans="1:22" ht="25.5" x14ac:dyDescent="0.25">
      <c r="A15" s="17" t="s">
        <v>375</v>
      </c>
      <c r="B15" s="18" t="s">
        <v>180</v>
      </c>
      <c r="C15" s="17" t="s">
        <v>392</v>
      </c>
      <c r="D15" s="18">
        <v>4</v>
      </c>
      <c r="E15" s="17" t="s">
        <v>217</v>
      </c>
      <c r="F15" s="17" t="s">
        <v>379</v>
      </c>
      <c r="G15" s="17" t="s">
        <v>380</v>
      </c>
      <c r="H15" s="17" t="s">
        <v>381</v>
      </c>
      <c r="I15" s="17" t="s">
        <v>135</v>
      </c>
      <c r="J15" s="19" t="s">
        <v>136</v>
      </c>
      <c r="K15" s="19" t="s">
        <v>136</v>
      </c>
      <c r="L15" s="19" t="s">
        <v>136</v>
      </c>
      <c r="M15" s="17" t="s">
        <v>137</v>
      </c>
      <c r="N15" s="18" t="s">
        <v>137</v>
      </c>
      <c r="O15" s="20" t="s">
        <v>22</v>
      </c>
      <c r="P15" s="19" t="s">
        <v>136</v>
      </c>
      <c r="Q15" s="17" t="s">
        <v>138</v>
      </c>
      <c r="R15" s="17" t="s">
        <v>139</v>
      </c>
      <c r="S15" s="17" t="s">
        <v>382</v>
      </c>
      <c r="T15" s="17" t="s">
        <v>141</v>
      </c>
      <c r="U15" s="21" t="s">
        <v>136</v>
      </c>
      <c r="V15" s="17" t="s">
        <v>142</v>
      </c>
    </row>
    <row r="16" spans="1:22" ht="38.25" x14ac:dyDescent="0.25">
      <c r="A16" s="22" t="s">
        <v>375</v>
      </c>
      <c r="B16" s="23" t="s">
        <v>180</v>
      </c>
      <c r="C16" s="22" t="s">
        <v>393</v>
      </c>
      <c r="D16" s="23">
        <v>2</v>
      </c>
      <c r="E16" s="22" t="s">
        <v>217</v>
      </c>
      <c r="F16" s="22" t="s">
        <v>394</v>
      </c>
      <c r="G16" s="22" t="s">
        <v>395</v>
      </c>
      <c r="H16" s="22" t="s">
        <v>396</v>
      </c>
      <c r="I16" s="22" t="s">
        <v>397</v>
      </c>
      <c r="J16" s="19" t="s">
        <v>136</v>
      </c>
      <c r="K16" s="19" t="s">
        <v>136</v>
      </c>
      <c r="L16" s="19" t="s">
        <v>136</v>
      </c>
      <c r="M16" s="17" t="s">
        <v>137</v>
      </c>
      <c r="N16" s="18" t="s">
        <v>137</v>
      </c>
      <c r="O16" s="20" t="s">
        <v>22</v>
      </c>
      <c r="P16" s="24" t="s">
        <v>148</v>
      </c>
      <c r="Q16" s="22" t="s">
        <v>157</v>
      </c>
      <c r="R16" s="22" t="s">
        <v>27</v>
      </c>
      <c r="S16" s="22" t="s">
        <v>398</v>
      </c>
      <c r="T16" s="22" t="s">
        <v>234</v>
      </c>
      <c r="U16" s="31" t="s">
        <v>54</v>
      </c>
      <c r="V16" s="22" t="s">
        <v>142</v>
      </c>
    </row>
    <row r="17" spans="1:22" ht="38.25" x14ac:dyDescent="0.25">
      <c r="A17" s="17" t="s">
        <v>375</v>
      </c>
      <c r="B17" s="18" t="s">
        <v>180</v>
      </c>
      <c r="C17" s="17" t="s">
        <v>399</v>
      </c>
      <c r="D17" s="18">
        <v>1</v>
      </c>
      <c r="E17" s="17" t="s">
        <v>217</v>
      </c>
      <c r="F17" s="17" t="s">
        <v>400</v>
      </c>
      <c r="G17" s="17" t="s">
        <v>401</v>
      </c>
      <c r="H17" s="17" t="s">
        <v>402</v>
      </c>
      <c r="I17" s="17" t="s">
        <v>403</v>
      </c>
      <c r="J17" s="19" t="s">
        <v>136</v>
      </c>
      <c r="K17" s="19" t="s">
        <v>136</v>
      </c>
      <c r="L17" s="19" t="s">
        <v>136</v>
      </c>
      <c r="M17" s="17" t="s">
        <v>137</v>
      </c>
      <c r="N17" s="18" t="s">
        <v>137</v>
      </c>
      <c r="O17" s="20" t="s">
        <v>22</v>
      </c>
      <c r="P17" s="19" t="s">
        <v>136</v>
      </c>
      <c r="Q17" s="17" t="s">
        <v>157</v>
      </c>
      <c r="R17" s="17" t="s">
        <v>404</v>
      </c>
      <c r="S17" s="17" t="s">
        <v>405</v>
      </c>
      <c r="T17" s="17" t="s">
        <v>241</v>
      </c>
      <c r="U17" s="26" t="s">
        <v>148</v>
      </c>
      <c r="V17" s="17" t="s">
        <v>142</v>
      </c>
    </row>
    <row r="18" spans="1:22" ht="51" x14ac:dyDescent="0.25">
      <c r="A18" s="22" t="s">
        <v>375</v>
      </c>
      <c r="B18" s="23" t="s">
        <v>180</v>
      </c>
      <c r="C18" s="22" t="s">
        <v>406</v>
      </c>
      <c r="D18" s="23">
        <v>2</v>
      </c>
      <c r="E18" s="22" t="s">
        <v>217</v>
      </c>
      <c r="F18" s="22" t="s">
        <v>407</v>
      </c>
      <c r="G18" s="22" t="s">
        <v>408</v>
      </c>
      <c r="H18" s="22" t="s">
        <v>409</v>
      </c>
      <c r="I18" s="22" t="s">
        <v>410</v>
      </c>
      <c r="J18" s="19" t="s">
        <v>136</v>
      </c>
      <c r="K18" s="19" t="s">
        <v>136</v>
      </c>
      <c r="L18" s="19" t="s">
        <v>136</v>
      </c>
      <c r="M18" s="17" t="s">
        <v>137</v>
      </c>
      <c r="N18" s="18" t="s">
        <v>137</v>
      </c>
      <c r="O18" s="20" t="s">
        <v>22</v>
      </c>
      <c r="P18" s="24" t="s">
        <v>148</v>
      </c>
      <c r="Q18" s="22" t="s">
        <v>157</v>
      </c>
      <c r="R18" s="22" t="s">
        <v>411</v>
      </c>
      <c r="S18" s="22" t="s">
        <v>412</v>
      </c>
      <c r="T18" s="22" t="s">
        <v>241</v>
      </c>
      <c r="U18" s="28" t="s">
        <v>148</v>
      </c>
      <c r="V18" s="22" t="s">
        <v>142</v>
      </c>
    </row>
    <row r="19" spans="1:22" ht="25.5" x14ac:dyDescent="0.25">
      <c r="A19" s="17" t="s">
        <v>375</v>
      </c>
      <c r="B19" s="18" t="s">
        <v>180</v>
      </c>
      <c r="C19" s="17" t="s">
        <v>413</v>
      </c>
      <c r="D19" s="18">
        <v>2</v>
      </c>
      <c r="E19" s="17" t="s">
        <v>217</v>
      </c>
      <c r="F19" s="17" t="s">
        <v>163</v>
      </c>
      <c r="G19" s="17" t="s">
        <v>164</v>
      </c>
      <c r="H19" s="17" t="s">
        <v>165</v>
      </c>
      <c r="I19" s="17" t="s">
        <v>136</v>
      </c>
      <c r="J19" s="19" t="s">
        <v>136</v>
      </c>
      <c r="K19" s="19" t="s">
        <v>136</v>
      </c>
      <c r="L19" s="19" t="s">
        <v>136</v>
      </c>
      <c r="M19" s="17" t="s">
        <v>137</v>
      </c>
      <c r="N19" s="18" t="s">
        <v>137</v>
      </c>
      <c r="O19" s="20" t="s">
        <v>22</v>
      </c>
      <c r="P19" s="19" t="s">
        <v>136</v>
      </c>
      <c r="Q19" s="17" t="s">
        <v>138</v>
      </c>
      <c r="R19" s="17" t="s">
        <v>139</v>
      </c>
      <c r="S19" s="17" t="s">
        <v>166</v>
      </c>
      <c r="T19" s="17" t="s">
        <v>141</v>
      </c>
      <c r="U19" s="21" t="s">
        <v>136</v>
      </c>
      <c r="V19" s="17" t="s">
        <v>142</v>
      </c>
    </row>
    <row r="20" spans="1:22" ht="25.5" x14ac:dyDescent="0.25">
      <c r="A20" s="22" t="s">
        <v>375</v>
      </c>
      <c r="B20" s="23" t="s">
        <v>180</v>
      </c>
      <c r="C20" s="22" t="s">
        <v>197</v>
      </c>
      <c r="D20" s="23">
        <v>0</v>
      </c>
      <c r="E20" s="22" t="s">
        <v>217</v>
      </c>
      <c r="F20" s="22" t="s">
        <v>176</v>
      </c>
      <c r="G20" s="22" t="s">
        <v>177</v>
      </c>
      <c r="H20" s="22" t="s">
        <v>178</v>
      </c>
      <c r="I20" s="22" t="s">
        <v>135</v>
      </c>
      <c r="J20" s="19" t="s">
        <v>136</v>
      </c>
      <c r="K20" s="19" t="s">
        <v>136</v>
      </c>
      <c r="L20" s="19" t="s">
        <v>136</v>
      </c>
      <c r="M20" s="22" t="s">
        <v>137</v>
      </c>
      <c r="N20" s="23" t="s">
        <v>137</v>
      </c>
      <c r="O20" s="20" t="s">
        <v>22</v>
      </c>
      <c r="P20" s="19" t="s">
        <v>136</v>
      </c>
      <c r="Q20" s="22" t="s">
        <v>138</v>
      </c>
      <c r="R20" s="22" t="s">
        <v>139</v>
      </c>
      <c r="S20" s="22" t="s">
        <v>179</v>
      </c>
      <c r="T20" s="22" t="s">
        <v>141</v>
      </c>
      <c r="U20" s="25" t="s">
        <v>136</v>
      </c>
      <c r="V20" s="22" t="s">
        <v>142</v>
      </c>
    </row>
    <row r="21" spans="1:22" ht="25.5" x14ac:dyDescent="0.25">
      <c r="A21" s="17" t="s">
        <v>375</v>
      </c>
      <c r="B21" s="18" t="s">
        <v>198</v>
      </c>
      <c r="C21" s="17" t="s">
        <v>414</v>
      </c>
      <c r="D21" s="18">
        <v>4</v>
      </c>
      <c r="E21" s="17" t="s">
        <v>217</v>
      </c>
      <c r="F21" s="17" t="s">
        <v>132</v>
      </c>
      <c r="G21" s="17" t="s">
        <v>133</v>
      </c>
      <c r="H21" s="17" t="s">
        <v>134</v>
      </c>
      <c r="I21" s="17" t="s">
        <v>135</v>
      </c>
      <c r="J21" s="19" t="s">
        <v>136</v>
      </c>
      <c r="K21" s="19" t="s">
        <v>136</v>
      </c>
      <c r="L21" s="19" t="s">
        <v>136</v>
      </c>
      <c r="M21" s="17" t="s">
        <v>137</v>
      </c>
      <c r="N21" s="18" t="s">
        <v>137</v>
      </c>
      <c r="O21" s="20" t="s">
        <v>22</v>
      </c>
      <c r="P21" s="19" t="s">
        <v>136</v>
      </c>
      <c r="Q21" s="17" t="s">
        <v>138</v>
      </c>
      <c r="R21" s="17" t="s">
        <v>139</v>
      </c>
      <c r="S21" s="17" t="s">
        <v>140</v>
      </c>
      <c r="T21" s="17" t="s">
        <v>141</v>
      </c>
      <c r="U21" s="21" t="s">
        <v>136</v>
      </c>
      <c r="V21" s="17" t="s">
        <v>142</v>
      </c>
    </row>
    <row r="22" spans="1:22" ht="25.5" x14ac:dyDescent="0.25">
      <c r="A22" s="22" t="s">
        <v>375</v>
      </c>
      <c r="B22" s="23" t="s">
        <v>198</v>
      </c>
      <c r="C22" s="22" t="s">
        <v>182</v>
      </c>
      <c r="D22" s="23">
        <v>3</v>
      </c>
      <c r="E22" s="22" t="s">
        <v>217</v>
      </c>
      <c r="F22" s="22" t="s">
        <v>132</v>
      </c>
      <c r="G22" s="22" t="s">
        <v>133</v>
      </c>
      <c r="H22" s="22" t="s">
        <v>134</v>
      </c>
      <c r="I22" s="22" t="s">
        <v>135</v>
      </c>
      <c r="J22" s="19" t="s">
        <v>136</v>
      </c>
      <c r="K22" s="19" t="s">
        <v>136</v>
      </c>
      <c r="L22" s="19" t="s">
        <v>136</v>
      </c>
      <c r="M22" s="22" t="s">
        <v>137</v>
      </c>
      <c r="N22" s="23" t="s">
        <v>137</v>
      </c>
      <c r="O22" s="20" t="s">
        <v>22</v>
      </c>
      <c r="P22" s="19" t="s">
        <v>136</v>
      </c>
      <c r="Q22" s="22" t="s">
        <v>138</v>
      </c>
      <c r="R22" s="22" t="s">
        <v>139</v>
      </c>
      <c r="S22" s="22" t="s">
        <v>140</v>
      </c>
      <c r="T22" s="22" t="s">
        <v>141</v>
      </c>
      <c r="U22" s="25" t="s">
        <v>136</v>
      </c>
      <c r="V22" s="22" t="s">
        <v>142</v>
      </c>
    </row>
    <row r="23" spans="1:22" ht="25.5" x14ac:dyDescent="0.25">
      <c r="A23" s="17" t="s">
        <v>375</v>
      </c>
      <c r="B23" s="18" t="s">
        <v>198</v>
      </c>
      <c r="C23" s="17" t="s">
        <v>200</v>
      </c>
      <c r="D23" s="18">
        <v>3</v>
      </c>
      <c r="E23" s="17" t="s">
        <v>217</v>
      </c>
      <c r="F23" s="17" t="s">
        <v>132</v>
      </c>
      <c r="G23" s="17" t="s">
        <v>133</v>
      </c>
      <c r="H23" s="17" t="s">
        <v>134</v>
      </c>
      <c r="I23" s="17" t="s">
        <v>135</v>
      </c>
      <c r="J23" s="19" t="s">
        <v>136</v>
      </c>
      <c r="K23" s="19" t="s">
        <v>136</v>
      </c>
      <c r="L23" s="19" t="s">
        <v>136</v>
      </c>
      <c r="M23" s="17" t="s">
        <v>137</v>
      </c>
      <c r="N23" s="18" t="s">
        <v>137</v>
      </c>
      <c r="O23" s="20" t="s">
        <v>22</v>
      </c>
      <c r="P23" s="19" t="s">
        <v>136</v>
      </c>
      <c r="Q23" s="17" t="s">
        <v>138</v>
      </c>
      <c r="R23" s="17" t="s">
        <v>139</v>
      </c>
      <c r="S23" s="17" t="s">
        <v>140</v>
      </c>
      <c r="T23" s="17" t="s">
        <v>141</v>
      </c>
      <c r="U23" s="21" t="s">
        <v>136</v>
      </c>
      <c r="V23" s="17" t="s">
        <v>142</v>
      </c>
    </row>
    <row r="24" spans="1:22" ht="25.5" x14ac:dyDescent="0.25">
      <c r="A24" s="22" t="s">
        <v>375</v>
      </c>
      <c r="B24" s="23" t="s">
        <v>198</v>
      </c>
      <c r="C24" s="22" t="s">
        <v>415</v>
      </c>
      <c r="D24" s="23">
        <v>3</v>
      </c>
      <c r="E24" s="22" t="s">
        <v>217</v>
      </c>
      <c r="F24" s="22" t="s">
        <v>379</v>
      </c>
      <c r="G24" s="22" t="s">
        <v>380</v>
      </c>
      <c r="H24" s="22" t="s">
        <v>381</v>
      </c>
      <c r="I24" s="22" t="s">
        <v>135</v>
      </c>
      <c r="J24" s="19" t="s">
        <v>136</v>
      </c>
      <c r="K24" s="19" t="s">
        <v>136</v>
      </c>
      <c r="L24" s="19" t="s">
        <v>136</v>
      </c>
      <c r="M24" s="22" t="s">
        <v>137</v>
      </c>
      <c r="N24" s="23" t="s">
        <v>137</v>
      </c>
      <c r="O24" s="20" t="s">
        <v>22</v>
      </c>
      <c r="P24" s="19" t="s">
        <v>136</v>
      </c>
      <c r="Q24" s="22" t="s">
        <v>138</v>
      </c>
      <c r="R24" s="22" t="s">
        <v>139</v>
      </c>
      <c r="S24" s="22" t="s">
        <v>382</v>
      </c>
      <c r="T24" s="22" t="s">
        <v>141</v>
      </c>
      <c r="U24" s="25" t="s">
        <v>136</v>
      </c>
      <c r="V24" s="22" t="s">
        <v>142</v>
      </c>
    </row>
    <row r="25" spans="1:22" ht="38.25" x14ac:dyDescent="0.25">
      <c r="A25" s="17" t="s">
        <v>375</v>
      </c>
      <c r="B25" s="18" t="s">
        <v>198</v>
      </c>
      <c r="C25" s="17" t="s">
        <v>416</v>
      </c>
      <c r="D25" s="18">
        <v>3</v>
      </c>
      <c r="E25" s="17" t="s">
        <v>217</v>
      </c>
      <c r="F25" s="17" t="s">
        <v>394</v>
      </c>
      <c r="G25" s="17" t="s">
        <v>395</v>
      </c>
      <c r="H25" s="17" t="s">
        <v>396</v>
      </c>
      <c r="I25" s="17" t="s">
        <v>397</v>
      </c>
      <c r="J25" s="46" t="s">
        <v>136</v>
      </c>
      <c r="K25" s="19" t="s">
        <v>136</v>
      </c>
      <c r="L25" s="19" t="s">
        <v>136</v>
      </c>
      <c r="M25" s="22" t="s">
        <v>137</v>
      </c>
      <c r="N25" s="23" t="s">
        <v>137</v>
      </c>
      <c r="O25" s="20" t="s">
        <v>22</v>
      </c>
      <c r="P25" s="24" t="s">
        <v>148</v>
      </c>
      <c r="Q25" s="17" t="s">
        <v>157</v>
      </c>
      <c r="R25" s="17" t="s">
        <v>27</v>
      </c>
      <c r="S25" s="17" t="s">
        <v>398</v>
      </c>
      <c r="T25" s="17" t="s">
        <v>234</v>
      </c>
      <c r="U25" s="30" t="s">
        <v>54</v>
      </c>
      <c r="V25" s="17" t="s">
        <v>142</v>
      </c>
    </row>
    <row r="26" spans="1:22" ht="38.25" x14ac:dyDescent="0.25">
      <c r="A26" s="22" t="s">
        <v>375</v>
      </c>
      <c r="B26" s="23" t="s">
        <v>198</v>
      </c>
      <c r="C26" s="22" t="s">
        <v>417</v>
      </c>
      <c r="D26" s="23">
        <v>1</v>
      </c>
      <c r="E26" s="22" t="s">
        <v>217</v>
      </c>
      <c r="F26" s="22" t="s">
        <v>400</v>
      </c>
      <c r="G26" s="22" t="s">
        <v>401</v>
      </c>
      <c r="H26" s="22" t="s">
        <v>402</v>
      </c>
      <c r="I26" s="22" t="s">
        <v>403</v>
      </c>
      <c r="J26" s="19" t="s">
        <v>136</v>
      </c>
      <c r="K26" s="19" t="s">
        <v>136</v>
      </c>
      <c r="L26" s="19" t="s">
        <v>136</v>
      </c>
      <c r="M26" s="22" t="s">
        <v>137</v>
      </c>
      <c r="N26" s="23" t="s">
        <v>137</v>
      </c>
      <c r="O26" s="20" t="s">
        <v>22</v>
      </c>
      <c r="P26" s="19" t="s">
        <v>136</v>
      </c>
      <c r="Q26" s="22" t="s">
        <v>157</v>
      </c>
      <c r="R26" s="22" t="s">
        <v>404</v>
      </c>
      <c r="S26" s="22" t="s">
        <v>405</v>
      </c>
      <c r="T26" s="22" t="s">
        <v>241</v>
      </c>
      <c r="U26" s="28" t="s">
        <v>148</v>
      </c>
      <c r="V26" s="22" t="s">
        <v>142</v>
      </c>
    </row>
    <row r="27" spans="1:22" ht="25.5" x14ac:dyDescent="0.25">
      <c r="A27" s="17" t="s">
        <v>375</v>
      </c>
      <c r="B27" s="18" t="s">
        <v>198</v>
      </c>
      <c r="C27" s="17" t="s">
        <v>213</v>
      </c>
      <c r="D27" s="18">
        <v>0</v>
      </c>
      <c r="E27" s="17" t="s">
        <v>217</v>
      </c>
      <c r="F27" s="17" t="s">
        <v>176</v>
      </c>
      <c r="G27" s="17" t="s">
        <v>177</v>
      </c>
      <c r="H27" s="17" t="s">
        <v>178</v>
      </c>
      <c r="I27" s="17" t="s">
        <v>135</v>
      </c>
      <c r="J27" s="19" t="s">
        <v>136</v>
      </c>
      <c r="K27" s="19" t="s">
        <v>136</v>
      </c>
      <c r="L27" s="19" t="s">
        <v>136</v>
      </c>
      <c r="M27" s="17" t="s">
        <v>137</v>
      </c>
      <c r="N27" s="18" t="s">
        <v>137</v>
      </c>
      <c r="O27" s="20" t="s">
        <v>22</v>
      </c>
      <c r="P27" s="19" t="s">
        <v>136</v>
      </c>
      <c r="Q27" s="17" t="s">
        <v>138</v>
      </c>
      <c r="R27" s="17" t="s">
        <v>139</v>
      </c>
      <c r="S27" s="17" t="s">
        <v>179</v>
      </c>
      <c r="T27" s="17" t="s">
        <v>141</v>
      </c>
      <c r="U27" s="21" t="s">
        <v>136</v>
      </c>
      <c r="V27" s="17" t="s">
        <v>142</v>
      </c>
    </row>
    <row r="28" spans="1:22" ht="25.5" x14ac:dyDescent="0.25">
      <c r="A28" s="22" t="s">
        <v>375</v>
      </c>
      <c r="B28" s="23" t="s">
        <v>214</v>
      </c>
      <c r="C28" s="22" t="s">
        <v>183</v>
      </c>
      <c r="D28" s="23">
        <v>4</v>
      </c>
      <c r="E28" s="22" t="s">
        <v>217</v>
      </c>
      <c r="F28" s="22" t="s">
        <v>184</v>
      </c>
      <c r="G28" s="22" t="s">
        <v>185</v>
      </c>
      <c r="H28" s="22" t="s">
        <v>186</v>
      </c>
      <c r="I28" s="22" t="s">
        <v>147</v>
      </c>
      <c r="J28" s="19" t="s">
        <v>136</v>
      </c>
      <c r="K28" s="19" t="s">
        <v>136</v>
      </c>
      <c r="L28" s="19" t="s">
        <v>136</v>
      </c>
      <c r="M28" s="22" t="s">
        <v>137</v>
      </c>
      <c r="N28" s="23" t="s">
        <v>137</v>
      </c>
      <c r="O28" s="20" t="s">
        <v>22</v>
      </c>
      <c r="P28" s="24" t="s">
        <v>148</v>
      </c>
      <c r="Q28" s="22" t="s">
        <v>187</v>
      </c>
      <c r="R28" s="22" t="s">
        <v>139</v>
      </c>
      <c r="S28" s="22" t="s">
        <v>188</v>
      </c>
      <c r="T28" s="22" t="s">
        <v>141</v>
      </c>
      <c r="U28" s="25" t="s">
        <v>136</v>
      </c>
      <c r="V28" s="22" t="s">
        <v>142</v>
      </c>
    </row>
    <row r="29" spans="1:22" ht="25.5" x14ac:dyDescent="0.25">
      <c r="A29" s="17" t="s">
        <v>375</v>
      </c>
      <c r="B29" s="18" t="s">
        <v>214</v>
      </c>
      <c r="C29" s="17" t="s">
        <v>418</v>
      </c>
      <c r="D29" s="18">
        <v>3</v>
      </c>
      <c r="E29" s="17" t="s">
        <v>217</v>
      </c>
      <c r="F29" s="17" t="s">
        <v>132</v>
      </c>
      <c r="G29" s="17" t="s">
        <v>133</v>
      </c>
      <c r="H29" s="17" t="s">
        <v>134</v>
      </c>
      <c r="I29" s="17" t="s">
        <v>135</v>
      </c>
      <c r="J29" s="19" t="s">
        <v>136</v>
      </c>
      <c r="K29" s="19" t="s">
        <v>136</v>
      </c>
      <c r="L29" s="19" t="s">
        <v>136</v>
      </c>
      <c r="M29" s="17" t="s">
        <v>137</v>
      </c>
      <c r="N29" s="18" t="s">
        <v>137</v>
      </c>
      <c r="O29" s="20" t="s">
        <v>22</v>
      </c>
      <c r="P29" s="19" t="s">
        <v>136</v>
      </c>
      <c r="Q29" s="17" t="s">
        <v>138</v>
      </c>
      <c r="R29" s="17" t="s">
        <v>139</v>
      </c>
      <c r="S29" s="17" t="s">
        <v>140</v>
      </c>
      <c r="T29" s="17" t="s">
        <v>141</v>
      </c>
      <c r="U29" s="21" t="s">
        <v>136</v>
      </c>
      <c r="V29" s="17" t="s">
        <v>142</v>
      </c>
    </row>
    <row r="30" spans="1:22" ht="25.5" x14ac:dyDescent="0.25">
      <c r="A30" s="22" t="s">
        <v>375</v>
      </c>
      <c r="B30" s="23" t="s">
        <v>214</v>
      </c>
      <c r="C30" s="22" t="s">
        <v>419</v>
      </c>
      <c r="D30" s="23">
        <v>3</v>
      </c>
      <c r="E30" s="22" t="s">
        <v>217</v>
      </c>
      <c r="F30" s="22" t="s">
        <v>379</v>
      </c>
      <c r="G30" s="22" t="s">
        <v>380</v>
      </c>
      <c r="H30" s="22" t="s">
        <v>381</v>
      </c>
      <c r="I30" s="22" t="s">
        <v>135</v>
      </c>
      <c r="J30" s="19" t="s">
        <v>136</v>
      </c>
      <c r="K30" s="19" t="s">
        <v>136</v>
      </c>
      <c r="L30" s="19" t="s">
        <v>136</v>
      </c>
      <c r="M30" s="22" t="s">
        <v>137</v>
      </c>
      <c r="N30" s="23" t="s">
        <v>137</v>
      </c>
      <c r="O30" s="20" t="s">
        <v>22</v>
      </c>
      <c r="P30" s="19" t="s">
        <v>136</v>
      </c>
      <c r="Q30" s="22" t="s">
        <v>138</v>
      </c>
      <c r="R30" s="22" t="s">
        <v>139</v>
      </c>
      <c r="S30" s="22" t="s">
        <v>382</v>
      </c>
      <c r="T30" s="22" t="s">
        <v>141</v>
      </c>
      <c r="U30" s="25" t="s">
        <v>136</v>
      </c>
      <c r="V30" s="22" t="s">
        <v>142</v>
      </c>
    </row>
    <row r="31" spans="1:22" ht="25.5" x14ac:dyDescent="0.25">
      <c r="A31" s="17" t="s">
        <v>375</v>
      </c>
      <c r="B31" s="18" t="s">
        <v>214</v>
      </c>
      <c r="C31" s="17" t="s">
        <v>420</v>
      </c>
      <c r="D31" s="18">
        <v>4</v>
      </c>
      <c r="E31" s="17" t="s">
        <v>217</v>
      </c>
      <c r="F31" s="17" t="s">
        <v>379</v>
      </c>
      <c r="G31" s="17" t="s">
        <v>380</v>
      </c>
      <c r="H31" s="17" t="s">
        <v>381</v>
      </c>
      <c r="I31" s="17" t="s">
        <v>135</v>
      </c>
      <c r="J31" s="19" t="s">
        <v>136</v>
      </c>
      <c r="K31" s="19" t="s">
        <v>136</v>
      </c>
      <c r="L31" s="19" t="s">
        <v>136</v>
      </c>
      <c r="M31" s="17" t="s">
        <v>137</v>
      </c>
      <c r="N31" s="18" t="s">
        <v>137</v>
      </c>
      <c r="O31" s="20" t="s">
        <v>22</v>
      </c>
      <c r="P31" s="19" t="s">
        <v>136</v>
      </c>
      <c r="Q31" s="17" t="s">
        <v>138</v>
      </c>
      <c r="R31" s="17" t="s">
        <v>139</v>
      </c>
      <c r="S31" s="17" t="s">
        <v>382</v>
      </c>
      <c r="T31" s="17" t="s">
        <v>141</v>
      </c>
      <c r="U31" s="21" t="s">
        <v>136</v>
      </c>
      <c r="V31" s="17" t="s">
        <v>142</v>
      </c>
    </row>
    <row r="32" spans="1:22" ht="38.25" x14ac:dyDescent="0.25">
      <c r="A32" s="22" t="s">
        <v>375</v>
      </c>
      <c r="B32" s="23" t="s">
        <v>214</v>
      </c>
      <c r="C32" s="22" t="s">
        <v>421</v>
      </c>
      <c r="D32" s="23">
        <v>1</v>
      </c>
      <c r="E32" s="22" t="s">
        <v>217</v>
      </c>
      <c r="F32" s="22" t="s">
        <v>400</v>
      </c>
      <c r="G32" s="22" t="s">
        <v>401</v>
      </c>
      <c r="H32" s="22" t="s">
        <v>402</v>
      </c>
      <c r="I32" s="22" t="s">
        <v>403</v>
      </c>
      <c r="J32" s="19" t="s">
        <v>136</v>
      </c>
      <c r="K32" s="19" t="s">
        <v>136</v>
      </c>
      <c r="L32" s="19" t="s">
        <v>136</v>
      </c>
      <c r="M32" s="22" t="s">
        <v>137</v>
      </c>
      <c r="N32" s="23" t="s">
        <v>137</v>
      </c>
      <c r="O32" s="20" t="s">
        <v>22</v>
      </c>
      <c r="P32" s="19" t="s">
        <v>136</v>
      </c>
      <c r="Q32" s="22" t="s">
        <v>157</v>
      </c>
      <c r="R32" s="22" t="s">
        <v>404</v>
      </c>
      <c r="S32" s="22" t="s">
        <v>405</v>
      </c>
      <c r="T32" s="22" t="s">
        <v>241</v>
      </c>
      <c r="U32" s="28" t="s">
        <v>148</v>
      </c>
      <c r="V32" s="22" t="s">
        <v>142</v>
      </c>
    </row>
    <row r="33" spans="1:22" ht="38.25" x14ac:dyDescent="0.25">
      <c r="A33" s="17" t="s">
        <v>375</v>
      </c>
      <c r="B33" s="18" t="s">
        <v>214</v>
      </c>
      <c r="C33" s="17" t="s">
        <v>422</v>
      </c>
      <c r="D33" s="18">
        <v>3</v>
      </c>
      <c r="E33" s="17" t="s">
        <v>217</v>
      </c>
      <c r="F33" s="17" t="s">
        <v>216</v>
      </c>
      <c r="G33" s="17" t="s">
        <v>217</v>
      </c>
      <c r="H33" s="17" t="s">
        <v>217</v>
      </c>
      <c r="I33" s="17" t="s">
        <v>218</v>
      </c>
      <c r="J33" s="29" t="s">
        <v>219</v>
      </c>
      <c r="K33" s="29" t="s">
        <v>219</v>
      </c>
      <c r="L33" s="29" t="s">
        <v>219</v>
      </c>
      <c r="M33" s="17" t="s">
        <v>220</v>
      </c>
      <c r="N33" s="18" t="s">
        <v>137</v>
      </c>
      <c r="O33" s="29" t="s">
        <v>23</v>
      </c>
      <c r="P33" s="29" t="s">
        <v>219</v>
      </c>
      <c r="Q33" s="17" t="s">
        <v>221</v>
      </c>
      <c r="R33" s="17" t="s">
        <v>222</v>
      </c>
      <c r="S33" s="17" t="s">
        <v>223</v>
      </c>
      <c r="T33" s="17" t="s">
        <v>224</v>
      </c>
      <c r="U33" s="26" t="s">
        <v>148</v>
      </c>
      <c r="V33" s="17" t="s">
        <v>217</v>
      </c>
    </row>
    <row r="34" spans="1:22" ht="25.5" x14ac:dyDescent="0.25">
      <c r="A34" s="22" t="s">
        <v>375</v>
      </c>
      <c r="B34" s="23" t="s">
        <v>214</v>
      </c>
      <c r="C34" s="22" t="s">
        <v>244</v>
      </c>
      <c r="D34" s="23">
        <v>0</v>
      </c>
      <c r="E34" s="22" t="s">
        <v>217</v>
      </c>
      <c r="F34" s="22" t="s">
        <v>176</v>
      </c>
      <c r="G34" s="22" t="s">
        <v>177</v>
      </c>
      <c r="H34" s="22" t="s">
        <v>178</v>
      </c>
      <c r="I34" s="22" t="s">
        <v>135</v>
      </c>
      <c r="J34" s="19" t="s">
        <v>136</v>
      </c>
      <c r="K34" s="19" t="s">
        <v>136</v>
      </c>
      <c r="L34" s="19" t="s">
        <v>136</v>
      </c>
      <c r="M34" s="22" t="s">
        <v>137</v>
      </c>
      <c r="N34" s="23" t="s">
        <v>137</v>
      </c>
      <c r="O34" s="20" t="s">
        <v>22</v>
      </c>
      <c r="P34" s="19" t="s">
        <v>136</v>
      </c>
      <c r="Q34" s="22" t="s">
        <v>138</v>
      </c>
      <c r="R34" s="22" t="s">
        <v>139</v>
      </c>
      <c r="S34" s="22" t="s">
        <v>179</v>
      </c>
      <c r="T34" s="22" t="s">
        <v>141</v>
      </c>
      <c r="U34" s="25" t="s">
        <v>136</v>
      </c>
      <c r="V34" s="22" t="s">
        <v>142</v>
      </c>
    </row>
    <row r="35" spans="1:22" ht="25.5" x14ac:dyDescent="0.25">
      <c r="A35" s="17" t="s">
        <v>375</v>
      </c>
      <c r="B35" s="18" t="s">
        <v>245</v>
      </c>
      <c r="C35" s="17" t="s">
        <v>423</v>
      </c>
      <c r="D35" s="18">
        <v>3</v>
      </c>
      <c r="E35" s="17" t="s">
        <v>217</v>
      </c>
      <c r="F35" s="17" t="s">
        <v>132</v>
      </c>
      <c r="G35" s="17" t="s">
        <v>133</v>
      </c>
      <c r="H35" s="17" t="s">
        <v>134</v>
      </c>
      <c r="I35" s="17" t="s">
        <v>135</v>
      </c>
      <c r="J35" s="19" t="s">
        <v>136</v>
      </c>
      <c r="K35" s="19" t="s">
        <v>136</v>
      </c>
      <c r="L35" s="19" t="s">
        <v>136</v>
      </c>
      <c r="M35" s="17" t="s">
        <v>137</v>
      </c>
      <c r="N35" s="18" t="s">
        <v>137</v>
      </c>
      <c r="O35" s="20" t="s">
        <v>22</v>
      </c>
      <c r="P35" s="19" t="s">
        <v>136</v>
      </c>
      <c r="Q35" s="17" t="s">
        <v>138</v>
      </c>
      <c r="R35" s="17" t="s">
        <v>139</v>
      </c>
      <c r="S35" s="17" t="s">
        <v>140</v>
      </c>
      <c r="T35" s="17" t="s">
        <v>141</v>
      </c>
      <c r="U35" s="21" t="s">
        <v>136</v>
      </c>
      <c r="V35" s="17" t="s">
        <v>142</v>
      </c>
    </row>
    <row r="36" spans="1:22" ht="25.5" x14ac:dyDescent="0.25">
      <c r="A36" s="22" t="s">
        <v>375</v>
      </c>
      <c r="B36" s="23" t="s">
        <v>245</v>
      </c>
      <c r="C36" s="22" t="s">
        <v>225</v>
      </c>
      <c r="D36" s="23">
        <v>3</v>
      </c>
      <c r="E36" s="22" t="s">
        <v>217</v>
      </c>
      <c r="F36" s="22" t="s">
        <v>132</v>
      </c>
      <c r="G36" s="22" t="s">
        <v>133</v>
      </c>
      <c r="H36" s="22" t="s">
        <v>134</v>
      </c>
      <c r="I36" s="22" t="s">
        <v>135</v>
      </c>
      <c r="J36" s="19" t="s">
        <v>136</v>
      </c>
      <c r="K36" s="19" t="s">
        <v>136</v>
      </c>
      <c r="L36" s="19" t="s">
        <v>136</v>
      </c>
      <c r="M36" s="22" t="s">
        <v>137</v>
      </c>
      <c r="N36" s="23" t="s">
        <v>137</v>
      </c>
      <c r="O36" s="20" t="s">
        <v>22</v>
      </c>
      <c r="P36" s="19" t="s">
        <v>136</v>
      </c>
      <c r="Q36" s="22" t="s">
        <v>138</v>
      </c>
      <c r="R36" s="22" t="s">
        <v>139</v>
      </c>
      <c r="S36" s="22" t="s">
        <v>140</v>
      </c>
      <c r="T36" s="22" t="s">
        <v>141</v>
      </c>
      <c r="U36" s="25" t="s">
        <v>136</v>
      </c>
      <c r="V36" s="22" t="s">
        <v>142</v>
      </c>
    </row>
    <row r="37" spans="1:22" ht="25.5" x14ac:dyDescent="0.25">
      <c r="A37" s="17" t="s">
        <v>375</v>
      </c>
      <c r="B37" s="18" t="s">
        <v>245</v>
      </c>
      <c r="C37" s="17" t="s">
        <v>424</v>
      </c>
      <c r="D37" s="18">
        <v>3</v>
      </c>
      <c r="E37" s="17" t="s">
        <v>217</v>
      </c>
      <c r="F37" s="17" t="s">
        <v>379</v>
      </c>
      <c r="G37" s="17" t="s">
        <v>380</v>
      </c>
      <c r="H37" s="17" t="s">
        <v>381</v>
      </c>
      <c r="I37" s="17" t="s">
        <v>135</v>
      </c>
      <c r="J37" s="19" t="s">
        <v>136</v>
      </c>
      <c r="K37" s="19" t="s">
        <v>136</v>
      </c>
      <c r="L37" s="19" t="s">
        <v>136</v>
      </c>
      <c r="M37" s="17" t="s">
        <v>137</v>
      </c>
      <c r="N37" s="18" t="s">
        <v>137</v>
      </c>
      <c r="O37" s="20" t="s">
        <v>22</v>
      </c>
      <c r="P37" s="19" t="s">
        <v>136</v>
      </c>
      <c r="Q37" s="17" t="s">
        <v>138</v>
      </c>
      <c r="R37" s="17" t="s">
        <v>139</v>
      </c>
      <c r="S37" s="17" t="s">
        <v>382</v>
      </c>
      <c r="T37" s="17" t="s">
        <v>141</v>
      </c>
      <c r="U37" s="21" t="s">
        <v>136</v>
      </c>
      <c r="V37" s="17" t="s">
        <v>142</v>
      </c>
    </row>
    <row r="38" spans="1:22" ht="25.5" x14ac:dyDescent="0.25">
      <c r="A38" s="22" t="s">
        <v>375</v>
      </c>
      <c r="B38" s="23" t="s">
        <v>245</v>
      </c>
      <c r="C38" s="22" t="s">
        <v>425</v>
      </c>
      <c r="D38" s="23">
        <v>4</v>
      </c>
      <c r="E38" s="22" t="s">
        <v>217</v>
      </c>
      <c r="F38" s="22" t="s">
        <v>379</v>
      </c>
      <c r="G38" s="22" t="s">
        <v>380</v>
      </c>
      <c r="H38" s="22" t="s">
        <v>381</v>
      </c>
      <c r="I38" s="22" t="s">
        <v>135</v>
      </c>
      <c r="J38" s="19" t="s">
        <v>136</v>
      </c>
      <c r="K38" s="19" t="s">
        <v>136</v>
      </c>
      <c r="L38" s="19" t="s">
        <v>136</v>
      </c>
      <c r="M38" s="22" t="s">
        <v>137</v>
      </c>
      <c r="N38" s="23" t="s">
        <v>137</v>
      </c>
      <c r="O38" s="20" t="s">
        <v>22</v>
      </c>
      <c r="P38" s="19" t="s">
        <v>136</v>
      </c>
      <c r="Q38" s="22" t="s">
        <v>138</v>
      </c>
      <c r="R38" s="22" t="s">
        <v>139</v>
      </c>
      <c r="S38" s="22" t="s">
        <v>382</v>
      </c>
      <c r="T38" s="22" t="s">
        <v>141</v>
      </c>
      <c r="U38" s="25" t="s">
        <v>136</v>
      </c>
      <c r="V38" s="22" t="s">
        <v>142</v>
      </c>
    </row>
    <row r="39" spans="1:22" ht="38.25" x14ac:dyDescent="0.25">
      <c r="A39" s="17" t="s">
        <v>375</v>
      </c>
      <c r="B39" s="18" t="s">
        <v>245</v>
      </c>
      <c r="C39" s="17" t="s">
        <v>426</v>
      </c>
      <c r="D39" s="18">
        <v>3</v>
      </c>
      <c r="E39" s="17" t="s">
        <v>217</v>
      </c>
      <c r="F39" s="17" t="s">
        <v>394</v>
      </c>
      <c r="G39" s="17" t="s">
        <v>395</v>
      </c>
      <c r="H39" s="17" t="s">
        <v>396</v>
      </c>
      <c r="I39" s="17" t="s">
        <v>397</v>
      </c>
      <c r="J39" s="46" t="s">
        <v>136</v>
      </c>
      <c r="K39" s="19" t="s">
        <v>136</v>
      </c>
      <c r="L39" s="19" t="s">
        <v>136</v>
      </c>
      <c r="M39" s="22" t="s">
        <v>137</v>
      </c>
      <c r="N39" s="23" t="s">
        <v>137</v>
      </c>
      <c r="O39" s="20" t="s">
        <v>22</v>
      </c>
      <c r="P39" s="24" t="s">
        <v>148</v>
      </c>
      <c r="Q39" s="17" t="s">
        <v>157</v>
      </c>
      <c r="R39" s="17" t="s">
        <v>27</v>
      </c>
      <c r="S39" s="17" t="s">
        <v>398</v>
      </c>
      <c r="T39" s="17" t="s">
        <v>234</v>
      </c>
      <c r="U39" s="30" t="s">
        <v>54</v>
      </c>
      <c r="V39" s="17" t="s">
        <v>142</v>
      </c>
    </row>
    <row r="40" spans="1:22" ht="38.25" x14ac:dyDescent="0.25">
      <c r="A40" s="22" t="s">
        <v>375</v>
      </c>
      <c r="B40" s="23" t="s">
        <v>245</v>
      </c>
      <c r="C40" s="22" t="s">
        <v>427</v>
      </c>
      <c r="D40" s="23">
        <v>2</v>
      </c>
      <c r="E40" s="22" t="s">
        <v>217</v>
      </c>
      <c r="F40" s="22" t="s">
        <v>216</v>
      </c>
      <c r="G40" s="22" t="s">
        <v>217</v>
      </c>
      <c r="H40" s="22" t="s">
        <v>217</v>
      </c>
      <c r="I40" s="22" t="s">
        <v>218</v>
      </c>
      <c r="J40" s="29" t="s">
        <v>219</v>
      </c>
      <c r="K40" s="29" t="s">
        <v>219</v>
      </c>
      <c r="L40" s="29" t="s">
        <v>219</v>
      </c>
      <c r="M40" s="22" t="s">
        <v>220</v>
      </c>
      <c r="N40" s="23" t="s">
        <v>137</v>
      </c>
      <c r="O40" s="29" t="s">
        <v>23</v>
      </c>
      <c r="P40" s="29" t="s">
        <v>219</v>
      </c>
      <c r="Q40" s="22" t="s">
        <v>221</v>
      </c>
      <c r="R40" s="22" t="s">
        <v>222</v>
      </c>
      <c r="S40" s="22" t="s">
        <v>223</v>
      </c>
      <c r="T40" s="22" t="s">
        <v>224</v>
      </c>
      <c r="U40" s="28" t="s">
        <v>148</v>
      </c>
      <c r="V40" s="22" t="s">
        <v>217</v>
      </c>
    </row>
    <row r="41" spans="1:22" ht="25.5" x14ac:dyDescent="0.25">
      <c r="A41" s="17" t="s">
        <v>375</v>
      </c>
      <c r="B41" s="18" t="s">
        <v>245</v>
      </c>
      <c r="C41" s="17" t="s">
        <v>284</v>
      </c>
      <c r="D41" s="18">
        <v>0</v>
      </c>
      <c r="E41" s="17" t="s">
        <v>217</v>
      </c>
      <c r="F41" s="17" t="s">
        <v>176</v>
      </c>
      <c r="G41" s="17" t="s">
        <v>177</v>
      </c>
      <c r="H41" s="17" t="s">
        <v>178</v>
      </c>
      <c r="I41" s="17" t="s">
        <v>135</v>
      </c>
      <c r="J41" s="19" t="s">
        <v>136</v>
      </c>
      <c r="K41" s="19" t="s">
        <v>136</v>
      </c>
      <c r="L41" s="19" t="s">
        <v>136</v>
      </c>
      <c r="M41" s="17" t="s">
        <v>137</v>
      </c>
      <c r="N41" s="18" t="s">
        <v>137</v>
      </c>
      <c r="O41" s="20" t="s">
        <v>22</v>
      </c>
      <c r="P41" s="19" t="s">
        <v>136</v>
      </c>
      <c r="Q41" s="17" t="s">
        <v>138</v>
      </c>
      <c r="R41" s="17" t="s">
        <v>139</v>
      </c>
      <c r="S41" s="17" t="s">
        <v>179</v>
      </c>
      <c r="T41" s="17" t="s">
        <v>141</v>
      </c>
      <c r="U41" s="21" t="s">
        <v>136</v>
      </c>
      <c r="V41" s="17" t="s">
        <v>142</v>
      </c>
    </row>
    <row r="42" spans="1:22" ht="25.5" x14ac:dyDescent="0.25">
      <c r="A42" s="22" t="s">
        <v>375</v>
      </c>
      <c r="B42" s="23" t="s">
        <v>285</v>
      </c>
      <c r="C42" s="22" t="s">
        <v>428</v>
      </c>
      <c r="D42" s="23">
        <v>3</v>
      </c>
      <c r="E42" s="22" t="s">
        <v>217</v>
      </c>
      <c r="F42" s="22" t="s">
        <v>379</v>
      </c>
      <c r="G42" s="22" t="s">
        <v>380</v>
      </c>
      <c r="H42" s="22" t="s">
        <v>381</v>
      </c>
      <c r="I42" s="22" t="s">
        <v>135</v>
      </c>
      <c r="J42" s="19" t="s">
        <v>136</v>
      </c>
      <c r="K42" s="19" t="s">
        <v>136</v>
      </c>
      <c r="L42" s="19" t="s">
        <v>136</v>
      </c>
      <c r="M42" s="22" t="s">
        <v>137</v>
      </c>
      <c r="N42" s="23" t="s">
        <v>137</v>
      </c>
      <c r="O42" s="20" t="s">
        <v>22</v>
      </c>
      <c r="P42" s="19" t="s">
        <v>136</v>
      </c>
      <c r="Q42" s="22" t="s">
        <v>138</v>
      </c>
      <c r="R42" s="22" t="s">
        <v>139</v>
      </c>
      <c r="S42" s="22" t="s">
        <v>382</v>
      </c>
      <c r="T42" s="22" t="s">
        <v>141</v>
      </c>
      <c r="U42" s="25" t="s">
        <v>136</v>
      </c>
      <c r="V42" s="22" t="s">
        <v>142</v>
      </c>
    </row>
    <row r="43" spans="1:22" ht="25.5" x14ac:dyDescent="0.25">
      <c r="A43" s="17" t="s">
        <v>375</v>
      </c>
      <c r="B43" s="18" t="s">
        <v>285</v>
      </c>
      <c r="C43" s="17" t="s">
        <v>429</v>
      </c>
      <c r="D43" s="18">
        <v>3</v>
      </c>
      <c r="E43" s="17" t="s">
        <v>217</v>
      </c>
      <c r="F43" s="17" t="s">
        <v>379</v>
      </c>
      <c r="G43" s="17" t="s">
        <v>380</v>
      </c>
      <c r="H43" s="17" t="s">
        <v>381</v>
      </c>
      <c r="I43" s="17" t="s">
        <v>135</v>
      </c>
      <c r="J43" s="19" t="s">
        <v>136</v>
      </c>
      <c r="K43" s="19" t="s">
        <v>136</v>
      </c>
      <c r="L43" s="19" t="s">
        <v>136</v>
      </c>
      <c r="M43" s="17" t="s">
        <v>137</v>
      </c>
      <c r="N43" s="18" t="s">
        <v>137</v>
      </c>
      <c r="O43" s="20" t="s">
        <v>22</v>
      </c>
      <c r="P43" s="19" t="s">
        <v>136</v>
      </c>
      <c r="Q43" s="17" t="s">
        <v>138</v>
      </c>
      <c r="R43" s="17" t="s">
        <v>139</v>
      </c>
      <c r="S43" s="17" t="s">
        <v>382</v>
      </c>
      <c r="T43" s="17" t="s">
        <v>141</v>
      </c>
      <c r="U43" s="21" t="s">
        <v>136</v>
      </c>
      <c r="V43" s="17" t="s">
        <v>142</v>
      </c>
    </row>
    <row r="44" spans="1:22" ht="25.5" x14ac:dyDescent="0.25">
      <c r="A44" s="22" t="s">
        <v>375</v>
      </c>
      <c r="B44" s="23" t="s">
        <v>285</v>
      </c>
      <c r="C44" s="22" t="s">
        <v>430</v>
      </c>
      <c r="D44" s="23">
        <v>3</v>
      </c>
      <c r="E44" s="22" t="s">
        <v>217</v>
      </c>
      <c r="F44" s="22" t="s">
        <v>431</v>
      </c>
      <c r="G44" s="22" t="s">
        <v>432</v>
      </c>
      <c r="H44" s="22" t="s">
        <v>433</v>
      </c>
      <c r="I44" s="22" t="s">
        <v>434</v>
      </c>
      <c r="J44" s="19" t="s">
        <v>136</v>
      </c>
      <c r="K44" s="19" t="s">
        <v>136</v>
      </c>
      <c r="L44" s="19" t="s">
        <v>136</v>
      </c>
      <c r="M44" s="22" t="s">
        <v>137</v>
      </c>
      <c r="N44" s="23" t="s">
        <v>137</v>
      </c>
      <c r="O44" s="20" t="s">
        <v>22</v>
      </c>
      <c r="P44" s="24" t="s">
        <v>148</v>
      </c>
      <c r="Q44" s="22" t="s">
        <v>435</v>
      </c>
      <c r="R44" s="22" t="s">
        <v>404</v>
      </c>
      <c r="S44" s="22" t="s">
        <v>436</v>
      </c>
      <c r="T44" s="22" t="s">
        <v>241</v>
      </c>
      <c r="U44" s="28" t="s">
        <v>148</v>
      </c>
      <c r="V44" s="22" t="s">
        <v>142</v>
      </c>
    </row>
    <row r="45" spans="1:22" ht="25.5" x14ac:dyDescent="0.25">
      <c r="A45" s="17" t="s">
        <v>375</v>
      </c>
      <c r="B45" s="18" t="s">
        <v>285</v>
      </c>
      <c r="C45" s="17" t="s">
        <v>437</v>
      </c>
      <c r="D45" s="18">
        <v>3</v>
      </c>
      <c r="E45" s="17" t="s">
        <v>217</v>
      </c>
      <c r="F45" s="17" t="s">
        <v>191</v>
      </c>
      <c r="G45" s="17" t="s">
        <v>192</v>
      </c>
      <c r="H45" s="17" t="s">
        <v>193</v>
      </c>
      <c r="I45" s="17" t="s">
        <v>135</v>
      </c>
      <c r="J45" s="19" t="s">
        <v>136</v>
      </c>
      <c r="K45" s="19" t="s">
        <v>136</v>
      </c>
      <c r="L45" s="19" t="s">
        <v>136</v>
      </c>
      <c r="M45" s="17" t="s">
        <v>137</v>
      </c>
      <c r="N45" s="18" t="s">
        <v>137</v>
      </c>
      <c r="O45" s="20" t="s">
        <v>22</v>
      </c>
      <c r="P45" s="19" t="s">
        <v>136</v>
      </c>
      <c r="Q45" s="17" t="s">
        <v>138</v>
      </c>
      <c r="R45" s="17" t="s">
        <v>139</v>
      </c>
      <c r="S45" s="17" t="s">
        <v>194</v>
      </c>
      <c r="T45" s="17" t="s">
        <v>141</v>
      </c>
      <c r="U45" s="21" t="s">
        <v>136</v>
      </c>
      <c r="V45" s="17" t="s">
        <v>142</v>
      </c>
    </row>
    <row r="46" spans="1:22" ht="38.25" x14ac:dyDescent="0.25">
      <c r="A46" s="22" t="s">
        <v>375</v>
      </c>
      <c r="B46" s="23" t="s">
        <v>285</v>
      </c>
      <c r="C46" s="22" t="s">
        <v>438</v>
      </c>
      <c r="D46" s="23">
        <v>3</v>
      </c>
      <c r="E46" s="22" t="s">
        <v>217</v>
      </c>
      <c r="F46" s="22" t="s">
        <v>394</v>
      </c>
      <c r="G46" s="22" t="s">
        <v>395</v>
      </c>
      <c r="H46" s="22" t="s">
        <v>396</v>
      </c>
      <c r="I46" s="22" t="s">
        <v>397</v>
      </c>
      <c r="J46" s="46" t="s">
        <v>136</v>
      </c>
      <c r="K46" s="19" t="s">
        <v>136</v>
      </c>
      <c r="L46" s="19" t="s">
        <v>136</v>
      </c>
      <c r="M46" s="17" t="s">
        <v>137</v>
      </c>
      <c r="N46" s="18" t="s">
        <v>137</v>
      </c>
      <c r="O46" s="20" t="s">
        <v>22</v>
      </c>
      <c r="P46" s="24" t="s">
        <v>148</v>
      </c>
      <c r="Q46" s="22" t="s">
        <v>157</v>
      </c>
      <c r="R46" s="22" t="s">
        <v>27</v>
      </c>
      <c r="S46" s="22" t="s">
        <v>398</v>
      </c>
      <c r="T46" s="22" t="s">
        <v>234</v>
      </c>
      <c r="U46" s="31" t="s">
        <v>54</v>
      </c>
      <c r="V46" s="22" t="s">
        <v>142</v>
      </c>
    </row>
    <row r="47" spans="1:22" ht="38.25" x14ac:dyDescent="0.25">
      <c r="A47" s="17" t="s">
        <v>375</v>
      </c>
      <c r="B47" s="18" t="s">
        <v>285</v>
      </c>
      <c r="C47" s="17" t="s">
        <v>439</v>
      </c>
      <c r="D47" s="18">
        <v>3</v>
      </c>
      <c r="E47" s="17" t="s">
        <v>217</v>
      </c>
      <c r="F47" s="17" t="s">
        <v>440</v>
      </c>
      <c r="G47" s="17" t="s">
        <v>441</v>
      </c>
      <c r="H47" s="17" t="s">
        <v>442</v>
      </c>
      <c r="I47" s="17" t="s">
        <v>443</v>
      </c>
      <c r="J47" s="46" t="s">
        <v>136</v>
      </c>
      <c r="K47" s="19" t="s">
        <v>136</v>
      </c>
      <c r="L47" s="19" t="s">
        <v>136</v>
      </c>
      <c r="M47" s="17" t="s">
        <v>137</v>
      </c>
      <c r="N47" s="18" t="s">
        <v>137</v>
      </c>
      <c r="O47" s="20" t="s">
        <v>22</v>
      </c>
      <c r="P47" s="24" t="s">
        <v>148</v>
      </c>
      <c r="Q47" s="17" t="s">
        <v>157</v>
      </c>
      <c r="R47" s="17" t="s">
        <v>77</v>
      </c>
      <c r="S47" s="17" t="s">
        <v>444</v>
      </c>
      <c r="T47" s="17" t="s">
        <v>234</v>
      </c>
      <c r="U47" s="30" t="s">
        <v>54</v>
      </c>
      <c r="V47" s="17" t="s">
        <v>142</v>
      </c>
    </row>
    <row r="48" spans="1:22" ht="25.5" x14ac:dyDescent="0.25">
      <c r="A48" s="22" t="s">
        <v>375</v>
      </c>
      <c r="B48" s="23" t="s">
        <v>285</v>
      </c>
      <c r="C48" s="22" t="s">
        <v>330</v>
      </c>
      <c r="D48" s="23">
        <v>0</v>
      </c>
      <c r="E48" s="22" t="s">
        <v>217</v>
      </c>
      <c r="F48" s="22" t="s">
        <v>176</v>
      </c>
      <c r="G48" s="22" t="s">
        <v>177</v>
      </c>
      <c r="H48" s="22" t="s">
        <v>178</v>
      </c>
      <c r="I48" s="22" t="s">
        <v>135</v>
      </c>
      <c r="J48" s="19" t="s">
        <v>136</v>
      </c>
      <c r="K48" s="19" t="s">
        <v>136</v>
      </c>
      <c r="L48" s="19" t="s">
        <v>136</v>
      </c>
      <c r="M48" s="17" t="s">
        <v>137</v>
      </c>
      <c r="N48" s="18" t="s">
        <v>137</v>
      </c>
      <c r="O48" s="20" t="s">
        <v>22</v>
      </c>
      <c r="P48" s="19" t="s">
        <v>136</v>
      </c>
      <c r="Q48" s="22" t="s">
        <v>138</v>
      </c>
      <c r="R48" s="22" t="s">
        <v>139</v>
      </c>
      <c r="S48" s="22" t="s">
        <v>179</v>
      </c>
      <c r="T48" s="22" t="s">
        <v>141</v>
      </c>
      <c r="U48" s="25" t="s">
        <v>136</v>
      </c>
      <c r="V48" s="22" t="s">
        <v>142</v>
      </c>
    </row>
    <row r="49" spans="1:22" ht="25.5" x14ac:dyDescent="0.25">
      <c r="A49" s="17" t="s">
        <v>375</v>
      </c>
      <c r="B49" s="18" t="s">
        <v>331</v>
      </c>
      <c r="C49" s="17" t="s">
        <v>445</v>
      </c>
      <c r="D49" s="18">
        <v>3</v>
      </c>
      <c r="E49" s="17" t="s">
        <v>217</v>
      </c>
      <c r="F49" s="17" t="s">
        <v>379</v>
      </c>
      <c r="G49" s="17" t="s">
        <v>380</v>
      </c>
      <c r="H49" s="17" t="s">
        <v>381</v>
      </c>
      <c r="I49" s="17" t="s">
        <v>135</v>
      </c>
      <c r="J49" s="19" t="s">
        <v>136</v>
      </c>
      <c r="K49" s="19" t="s">
        <v>136</v>
      </c>
      <c r="L49" s="19" t="s">
        <v>136</v>
      </c>
      <c r="M49" s="17" t="s">
        <v>137</v>
      </c>
      <c r="N49" s="18" t="s">
        <v>137</v>
      </c>
      <c r="O49" s="20" t="s">
        <v>22</v>
      </c>
      <c r="P49" s="19" t="s">
        <v>136</v>
      </c>
      <c r="Q49" s="17" t="s">
        <v>138</v>
      </c>
      <c r="R49" s="17" t="s">
        <v>139</v>
      </c>
      <c r="S49" s="17" t="s">
        <v>382</v>
      </c>
      <c r="T49" s="17" t="s">
        <v>141</v>
      </c>
      <c r="U49" s="21" t="s">
        <v>136</v>
      </c>
      <c r="V49" s="17" t="s">
        <v>142</v>
      </c>
    </row>
    <row r="50" spans="1:22" ht="38.25" x14ac:dyDescent="0.25">
      <c r="A50" s="22" t="s">
        <v>375</v>
      </c>
      <c r="B50" s="23" t="s">
        <v>331</v>
      </c>
      <c r="C50" s="22" t="s">
        <v>446</v>
      </c>
      <c r="D50" s="23">
        <v>3</v>
      </c>
      <c r="E50" s="22" t="s">
        <v>217</v>
      </c>
      <c r="F50" s="22" t="s">
        <v>216</v>
      </c>
      <c r="G50" s="22" t="s">
        <v>217</v>
      </c>
      <c r="H50" s="22" t="s">
        <v>217</v>
      </c>
      <c r="I50" s="22" t="s">
        <v>218</v>
      </c>
      <c r="J50" s="29" t="s">
        <v>219</v>
      </c>
      <c r="K50" s="29" t="s">
        <v>219</v>
      </c>
      <c r="L50" s="29" t="s">
        <v>219</v>
      </c>
      <c r="M50" s="22" t="s">
        <v>220</v>
      </c>
      <c r="N50" s="23" t="s">
        <v>137</v>
      </c>
      <c r="O50" s="29" t="s">
        <v>23</v>
      </c>
      <c r="P50" s="29" t="s">
        <v>219</v>
      </c>
      <c r="Q50" s="22" t="s">
        <v>221</v>
      </c>
      <c r="R50" s="22" t="s">
        <v>222</v>
      </c>
      <c r="S50" s="22" t="s">
        <v>223</v>
      </c>
      <c r="T50" s="22" t="s">
        <v>224</v>
      </c>
      <c r="U50" s="28" t="s">
        <v>148</v>
      </c>
      <c r="V50" s="22" t="s">
        <v>217</v>
      </c>
    </row>
    <row r="51" spans="1:22" ht="38.25" x14ac:dyDescent="0.25">
      <c r="A51" s="17" t="s">
        <v>375</v>
      </c>
      <c r="B51" s="18" t="s">
        <v>331</v>
      </c>
      <c r="C51" s="17" t="s">
        <v>447</v>
      </c>
      <c r="D51" s="18">
        <v>3</v>
      </c>
      <c r="E51" s="17" t="s">
        <v>217</v>
      </c>
      <c r="F51" s="17" t="s">
        <v>394</v>
      </c>
      <c r="G51" s="17" t="s">
        <v>395</v>
      </c>
      <c r="H51" s="17" t="s">
        <v>396</v>
      </c>
      <c r="I51" s="17" t="s">
        <v>397</v>
      </c>
      <c r="J51" s="19" t="s">
        <v>136</v>
      </c>
      <c r="K51" s="27" t="s">
        <v>54</v>
      </c>
      <c r="L51" s="19" t="s">
        <v>136</v>
      </c>
      <c r="M51" s="17" t="s">
        <v>137</v>
      </c>
      <c r="N51" s="18" t="s">
        <v>137</v>
      </c>
      <c r="O51" s="20" t="s">
        <v>22</v>
      </c>
      <c r="P51" s="24" t="s">
        <v>148</v>
      </c>
      <c r="Q51" s="17" t="s">
        <v>157</v>
      </c>
      <c r="R51" s="17" t="s">
        <v>27</v>
      </c>
      <c r="S51" s="17" t="s">
        <v>398</v>
      </c>
      <c r="T51" s="17" t="s">
        <v>234</v>
      </c>
      <c r="U51" s="30" t="s">
        <v>54</v>
      </c>
      <c r="V51" s="17" t="s">
        <v>142</v>
      </c>
    </row>
    <row r="52" spans="1:22" ht="51" x14ac:dyDescent="0.25">
      <c r="A52" s="22" t="s">
        <v>375</v>
      </c>
      <c r="B52" s="23" t="s">
        <v>331</v>
      </c>
      <c r="C52" s="22" t="s">
        <v>52</v>
      </c>
      <c r="D52" s="23">
        <v>3</v>
      </c>
      <c r="E52" s="22" t="s">
        <v>217</v>
      </c>
      <c r="F52" s="22" t="s">
        <v>448</v>
      </c>
      <c r="G52" s="22" t="s">
        <v>449</v>
      </c>
      <c r="H52" s="22" t="s">
        <v>450</v>
      </c>
      <c r="I52" s="22" t="s">
        <v>451</v>
      </c>
      <c r="J52" s="19" t="s">
        <v>136</v>
      </c>
      <c r="K52" s="19" t="s">
        <v>136</v>
      </c>
      <c r="L52" s="19" t="s">
        <v>136</v>
      </c>
      <c r="M52" s="45" t="s">
        <v>954</v>
      </c>
      <c r="N52" s="47" t="s">
        <v>291</v>
      </c>
      <c r="O52" s="27" t="s">
        <v>20</v>
      </c>
      <c r="P52" s="19" t="s">
        <v>136</v>
      </c>
      <c r="Q52" s="22" t="s">
        <v>232</v>
      </c>
      <c r="R52" s="22" t="s">
        <v>53</v>
      </c>
      <c r="S52" s="22" t="s">
        <v>453</v>
      </c>
      <c r="T52" s="22" t="s">
        <v>234</v>
      </c>
      <c r="U52" s="31" t="s">
        <v>54</v>
      </c>
      <c r="V52" s="22" t="s">
        <v>142</v>
      </c>
    </row>
    <row r="53" spans="1:22" ht="38.25" x14ac:dyDescent="0.25">
      <c r="A53" s="17" t="s">
        <v>375</v>
      </c>
      <c r="B53" s="18" t="s">
        <v>331</v>
      </c>
      <c r="C53" s="17" t="s">
        <v>454</v>
      </c>
      <c r="D53" s="18">
        <v>2</v>
      </c>
      <c r="E53" s="17" t="s">
        <v>217</v>
      </c>
      <c r="F53" s="17" t="s">
        <v>440</v>
      </c>
      <c r="G53" s="17" t="s">
        <v>441</v>
      </c>
      <c r="H53" s="17" t="s">
        <v>442</v>
      </c>
      <c r="I53" s="17" t="s">
        <v>443</v>
      </c>
      <c r="J53" s="19" t="s">
        <v>136</v>
      </c>
      <c r="K53" s="19" t="s">
        <v>136</v>
      </c>
      <c r="L53" s="19" t="s">
        <v>136</v>
      </c>
      <c r="M53" s="17" t="s">
        <v>137</v>
      </c>
      <c r="N53" s="18" t="s">
        <v>137</v>
      </c>
      <c r="O53" s="20" t="s">
        <v>22</v>
      </c>
      <c r="P53" s="24" t="s">
        <v>148</v>
      </c>
      <c r="Q53" s="17" t="s">
        <v>157</v>
      </c>
      <c r="R53" s="17" t="s">
        <v>77</v>
      </c>
      <c r="S53" s="17" t="s">
        <v>444</v>
      </c>
      <c r="T53" s="17" t="s">
        <v>234</v>
      </c>
      <c r="U53" s="30" t="s">
        <v>54</v>
      </c>
      <c r="V53" s="17" t="s">
        <v>142</v>
      </c>
    </row>
    <row r="54" spans="1:22" ht="38.25" x14ac:dyDescent="0.25">
      <c r="A54" s="22" t="s">
        <v>375</v>
      </c>
      <c r="B54" s="23" t="s">
        <v>331</v>
      </c>
      <c r="C54" s="22" t="s">
        <v>76</v>
      </c>
      <c r="D54" s="23">
        <v>2</v>
      </c>
      <c r="E54" s="22" t="s">
        <v>217</v>
      </c>
      <c r="F54" s="22" t="s">
        <v>440</v>
      </c>
      <c r="G54" s="22" t="s">
        <v>441</v>
      </c>
      <c r="H54" s="22" t="s">
        <v>442</v>
      </c>
      <c r="I54" s="22" t="s">
        <v>443</v>
      </c>
      <c r="J54" s="19" t="s">
        <v>136</v>
      </c>
      <c r="K54" s="19" t="s">
        <v>136</v>
      </c>
      <c r="L54" s="27" t="s">
        <v>54</v>
      </c>
      <c r="M54" s="17" t="s">
        <v>137</v>
      </c>
      <c r="N54" s="18" t="s">
        <v>137</v>
      </c>
      <c r="O54" s="20" t="s">
        <v>22</v>
      </c>
      <c r="P54" s="24" t="s">
        <v>148</v>
      </c>
      <c r="Q54" s="22" t="s">
        <v>157</v>
      </c>
      <c r="R54" s="22" t="s">
        <v>77</v>
      </c>
      <c r="S54" s="22" t="s">
        <v>444</v>
      </c>
      <c r="T54" s="22" t="s">
        <v>234</v>
      </c>
      <c r="U54" s="31" t="s">
        <v>54</v>
      </c>
      <c r="V54" s="22" t="s">
        <v>142</v>
      </c>
    </row>
    <row r="55" spans="1:22" ht="38.25" x14ac:dyDescent="0.25">
      <c r="A55" s="17" t="s">
        <v>375</v>
      </c>
      <c r="B55" s="18" t="s">
        <v>331</v>
      </c>
      <c r="C55" s="17" t="s">
        <v>455</v>
      </c>
      <c r="D55" s="18">
        <v>2</v>
      </c>
      <c r="E55" s="17" t="s">
        <v>217</v>
      </c>
      <c r="F55" s="17" t="s">
        <v>216</v>
      </c>
      <c r="G55" s="17" t="s">
        <v>217</v>
      </c>
      <c r="H55" s="17" t="s">
        <v>217</v>
      </c>
      <c r="I55" s="17" t="s">
        <v>218</v>
      </c>
      <c r="J55" s="29" t="s">
        <v>219</v>
      </c>
      <c r="K55" s="29" t="s">
        <v>219</v>
      </c>
      <c r="L55" s="29" t="s">
        <v>219</v>
      </c>
      <c r="M55" s="17" t="s">
        <v>220</v>
      </c>
      <c r="N55" s="18" t="s">
        <v>137</v>
      </c>
      <c r="O55" s="29" t="s">
        <v>23</v>
      </c>
      <c r="P55" s="29" t="s">
        <v>219</v>
      </c>
      <c r="Q55" s="17" t="s">
        <v>221</v>
      </c>
      <c r="R55" s="17" t="s">
        <v>222</v>
      </c>
      <c r="S55" s="17" t="s">
        <v>223</v>
      </c>
      <c r="T55" s="17" t="s">
        <v>224</v>
      </c>
      <c r="U55" s="26" t="s">
        <v>148</v>
      </c>
      <c r="V55" s="17" t="s">
        <v>217</v>
      </c>
    </row>
    <row r="56" spans="1:22" ht="25.5" x14ac:dyDescent="0.25">
      <c r="A56" s="22" t="s">
        <v>375</v>
      </c>
      <c r="B56" s="23" t="s">
        <v>331</v>
      </c>
      <c r="C56" s="22" t="s">
        <v>363</v>
      </c>
      <c r="D56" s="23">
        <v>0</v>
      </c>
      <c r="E56" s="22" t="s">
        <v>217</v>
      </c>
      <c r="F56" s="22" t="s">
        <v>176</v>
      </c>
      <c r="G56" s="22" t="s">
        <v>177</v>
      </c>
      <c r="H56" s="22" t="s">
        <v>178</v>
      </c>
      <c r="I56" s="22" t="s">
        <v>135</v>
      </c>
      <c r="J56" s="19" t="s">
        <v>136</v>
      </c>
      <c r="K56" s="19" t="s">
        <v>136</v>
      </c>
      <c r="L56" s="19" t="s">
        <v>136</v>
      </c>
      <c r="M56" s="22" t="s">
        <v>137</v>
      </c>
      <c r="N56" s="23" t="s">
        <v>137</v>
      </c>
      <c r="O56" s="20" t="s">
        <v>22</v>
      </c>
      <c r="P56" s="19" t="s">
        <v>136</v>
      </c>
      <c r="Q56" s="22" t="s">
        <v>138</v>
      </c>
      <c r="R56" s="22" t="s">
        <v>139</v>
      </c>
      <c r="S56" s="22" t="s">
        <v>179</v>
      </c>
      <c r="T56" s="22" t="s">
        <v>141</v>
      </c>
      <c r="U56" s="25" t="s">
        <v>136</v>
      </c>
      <c r="V56" s="22" t="s">
        <v>142</v>
      </c>
    </row>
    <row r="57" spans="1:22" ht="38.25" x14ac:dyDescent="0.25">
      <c r="A57" s="17" t="s">
        <v>375</v>
      </c>
      <c r="B57" s="18" t="s">
        <v>364</v>
      </c>
      <c r="C57" s="17" t="s">
        <v>456</v>
      </c>
      <c r="D57" s="18">
        <v>3</v>
      </c>
      <c r="E57" s="17" t="s">
        <v>217</v>
      </c>
      <c r="F57" s="17" t="s">
        <v>457</v>
      </c>
      <c r="G57" s="17" t="s">
        <v>458</v>
      </c>
      <c r="H57" s="17" t="s">
        <v>459</v>
      </c>
      <c r="I57" s="17" t="s">
        <v>460</v>
      </c>
      <c r="J57" s="19" t="s">
        <v>136</v>
      </c>
      <c r="K57" s="19" t="s">
        <v>136</v>
      </c>
      <c r="L57" s="19" t="s">
        <v>136</v>
      </c>
      <c r="M57" s="17" t="s">
        <v>137</v>
      </c>
      <c r="N57" s="18" t="s">
        <v>137</v>
      </c>
      <c r="O57" s="20" t="s">
        <v>22</v>
      </c>
      <c r="P57" s="24" t="s">
        <v>148</v>
      </c>
      <c r="Q57" s="17" t="s">
        <v>157</v>
      </c>
      <c r="R57" s="17" t="s">
        <v>461</v>
      </c>
      <c r="S57" s="17" t="s">
        <v>462</v>
      </c>
      <c r="T57" s="17" t="s">
        <v>241</v>
      </c>
      <c r="U57" s="26" t="s">
        <v>148</v>
      </c>
      <c r="V57" s="17" t="s">
        <v>142</v>
      </c>
    </row>
    <row r="58" spans="1:22" ht="38.25" x14ac:dyDescent="0.25">
      <c r="A58" s="22" t="s">
        <v>375</v>
      </c>
      <c r="B58" s="23" t="s">
        <v>364</v>
      </c>
      <c r="C58" s="22" t="s">
        <v>463</v>
      </c>
      <c r="D58" s="23">
        <v>3</v>
      </c>
      <c r="E58" s="22" t="s">
        <v>217</v>
      </c>
      <c r="F58" s="22" t="s">
        <v>216</v>
      </c>
      <c r="G58" s="22" t="s">
        <v>217</v>
      </c>
      <c r="H58" s="22" t="s">
        <v>217</v>
      </c>
      <c r="I58" s="22" t="s">
        <v>218</v>
      </c>
      <c r="J58" s="19" t="s">
        <v>136</v>
      </c>
      <c r="K58" s="19" t="s">
        <v>136</v>
      </c>
      <c r="L58" s="19" t="s">
        <v>136</v>
      </c>
      <c r="M58" s="22" t="s">
        <v>220</v>
      </c>
      <c r="N58" s="23" t="s">
        <v>137</v>
      </c>
      <c r="O58" s="29" t="s">
        <v>23</v>
      </c>
      <c r="P58" s="29" t="s">
        <v>219</v>
      </c>
      <c r="Q58" s="22" t="s">
        <v>221</v>
      </c>
      <c r="R58" s="22" t="s">
        <v>222</v>
      </c>
      <c r="S58" s="22" t="s">
        <v>223</v>
      </c>
      <c r="T58" s="22" t="s">
        <v>224</v>
      </c>
      <c r="U58" s="28" t="s">
        <v>148</v>
      </c>
      <c r="V58" s="22" t="s">
        <v>217</v>
      </c>
    </row>
    <row r="59" spans="1:22" ht="25.5" x14ac:dyDescent="0.25">
      <c r="A59" s="17" t="s">
        <v>375</v>
      </c>
      <c r="B59" s="18" t="s">
        <v>364</v>
      </c>
      <c r="C59" s="17" t="s">
        <v>464</v>
      </c>
      <c r="D59" s="18">
        <v>3</v>
      </c>
      <c r="E59" s="17" t="s">
        <v>217</v>
      </c>
      <c r="F59" s="17" t="s">
        <v>255</v>
      </c>
      <c r="G59" s="17" t="s">
        <v>256</v>
      </c>
      <c r="H59" s="17" t="s">
        <v>257</v>
      </c>
      <c r="I59" s="17" t="s">
        <v>258</v>
      </c>
      <c r="J59" s="19" t="s">
        <v>136</v>
      </c>
      <c r="K59" s="19" t="s">
        <v>136</v>
      </c>
      <c r="L59" s="19" t="s">
        <v>136</v>
      </c>
      <c r="M59" s="17" t="s">
        <v>137</v>
      </c>
      <c r="N59" s="18" t="s">
        <v>137</v>
      </c>
      <c r="O59" s="20" t="s">
        <v>22</v>
      </c>
      <c r="P59" s="24" t="s">
        <v>148</v>
      </c>
      <c r="Q59" s="17" t="s">
        <v>259</v>
      </c>
      <c r="R59" s="17" t="s">
        <v>260</v>
      </c>
      <c r="S59" s="17" t="s">
        <v>261</v>
      </c>
      <c r="T59" s="17" t="s">
        <v>241</v>
      </c>
      <c r="U59" s="26" t="s">
        <v>148</v>
      </c>
      <c r="V59" s="17" t="s">
        <v>142</v>
      </c>
    </row>
    <row r="60" spans="1:22" ht="38.25" x14ac:dyDescent="0.25">
      <c r="A60" s="22" t="s">
        <v>375</v>
      </c>
      <c r="B60" s="23" t="s">
        <v>364</v>
      </c>
      <c r="C60" s="22" t="s">
        <v>465</v>
      </c>
      <c r="D60" s="23">
        <v>3</v>
      </c>
      <c r="E60" s="22" t="s">
        <v>217</v>
      </c>
      <c r="F60" s="22" t="s">
        <v>466</v>
      </c>
      <c r="G60" s="22" t="s">
        <v>467</v>
      </c>
      <c r="H60" s="22" t="s">
        <v>468</v>
      </c>
      <c r="I60" s="22" t="s">
        <v>469</v>
      </c>
      <c r="J60" s="19" t="s">
        <v>136</v>
      </c>
      <c r="K60" s="19" t="s">
        <v>136</v>
      </c>
      <c r="L60" s="19" t="s">
        <v>136</v>
      </c>
      <c r="M60" s="17" t="s">
        <v>137</v>
      </c>
      <c r="N60" s="18" t="s">
        <v>137</v>
      </c>
      <c r="O60" s="20" t="s">
        <v>22</v>
      </c>
      <c r="P60" s="27" t="s">
        <v>54</v>
      </c>
      <c r="Q60" s="22" t="s">
        <v>471</v>
      </c>
      <c r="R60" s="22" t="s">
        <v>472</v>
      </c>
      <c r="S60" s="22" t="s">
        <v>473</v>
      </c>
      <c r="T60" s="22" t="s">
        <v>241</v>
      </c>
      <c r="U60" s="31" t="s">
        <v>54</v>
      </c>
      <c r="V60" s="22" t="s">
        <v>142</v>
      </c>
    </row>
    <row r="61" spans="1:22" ht="38.25" x14ac:dyDescent="0.25">
      <c r="A61" s="17" t="s">
        <v>375</v>
      </c>
      <c r="B61" s="18" t="s">
        <v>364</v>
      </c>
      <c r="C61" s="17" t="s">
        <v>83</v>
      </c>
      <c r="D61" s="18">
        <v>4</v>
      </c>
      <c r="E61" s="17" t="s">
        <v>217</v>
      </c>
      <c r="F61" s="17" t="s">
        <v>440</v>
      </c>
      <c r="G61" s="17" t="s">
        <v>441</v>
      </c>
      <c r="H61" s="17" t="s">
        <v>442</v>
      </c>
      <c r="I61" s="17" t="s">
        <v>443</v>
      </c>
      <c r="J61" s="19" t="s">
        <v>136</v>
      </c>
      <c r="K61" s="19" t="s">
        <v>136</v>
      </c>
      <c r="L61" s="19" t="s">
        <v>136</v>
      </c>
      <c r="M61" s="17" t="s">
        <v>137</v>
      </c>
      <c r="N61" s="18" t="s">
        <v>137</v>
      </c>
      <c r="O61" s="20" t="s">
        <v>22</v>
      </c>
      <c r="P61" s="24" t="s">
        <v>148</v>
      </c>
      <c r="Q61" s="17" t="s">
        <v>157</v>
      </c>
      <c r="R61" s="17" t="s">
        <v>77</v>
      </c>
      <c r="S61" s="17" t="s">
        <v>444</v>
      </c>
      <c r="T61" s="17" t="s">
        <v>234</v>
      </c>
      <c r="U61" s="30" t="s">
        <v>54</v>
      </c>
      <c r="V61" s="17" t="s">
        <v>142</v>
      </c>
    </row>
    <row r="62" spans="1:22" ht="38.25" x14ac:dyDescent="0.25">
      <c r="A62" s="22" t="s">
        <v>375</v>
      </c>
      <c r="B62" s="23" t="s">
        <v>364</v>
      </c>
      <c r="C62" s="22" t="s">
        <v>474</v>
      </c>
      <c r="D62" s="23">
        <v>2</v>
      </c>
      <c r="E62" s="22" t="s">
        <v>217</v>
      </c>
      <c r="F62" s="22" t="s">
        <v>216</v>
      </c>
      <c r="G62" s="22" t="s">
        <v>217</v>
      </c>
      <c r="H62" s="22" t="s">
        <v>217</v>
      </c>
      <c r="I62" s="22" t="s">
        <v>218</v>
      </c>
      <c r="J62" s="29" t="s">
        <v>219</v>
      </c>
      <c r="K62" s="29" t="s">
        <v>219</v>
      </c>
      <c r="L62" s="29" t="s">
        <v>219</v>
      </c>
      <c r="M62" s="22" t="s">
        <v>220</v>
      </c>
      <c r="N62" s="23" t="s">
        <v>137</v>
      </c>
      <c r="O62" s="29" t="s">
        <v>23</v>
      </c>
      <c r="P62" s="29" t="s">
        <v>219</v>
      </c>
      <c r="Q62" s="22" t="s">
        <v>221</v>
      </c>
      <c r="R62" s="22" t="s">
        <v>222</v>
      </c>
      <c r="S62" s="22" t="s">
        <v>223</v>
      </c>
      <c r="T62" s="22" t="s">
        <v>224</v>
      </c>
      <c r="U62" s="28" t="s">
        <v>148</v>
      </c>
      <c r="V62" s="22" t="s">
        <v>217</v>
      </c>
    </row>
    <row r="63" spans="1:22" ht="25.5" x14ac:dyDescent="0.25">
      <c r="A63" s="17" t="s">
        <v>375</v>
      </c>
      <c r="B63" s="18" t="s">
        <v>364</v>
      </c>
      <c r="C63" s="17" t="s">
        <v>371</v>
      </c>
      <c r="D63" s="18">
        <v>0</v>
      </c>
      <c r="E63" s="17" t="s">
        <v>217</v>
      </c>
      <c r="F63" s="17" t="s">
        <v>176</v>
      </c>
      <c r="G63" s="17" t="s">
        <v>177</v>
      </c>
      <c r="H63" s="17" t="s">
        <v>178</v>
      </c>
      <c r="I63" s="17" t="s">
        <v>135</v>
      </c>
      <c r="J63" s="46" t="s">
        <v>136</v>
      </c>
      <c r="K63" s="19" t="s">
        <v>136</v>
      </c>
      <c r="L63" s="19" t="s">
        <v>136</v>
      </c>
      <c r="M63" s="17" t="s">
        <v>137</v>
      </c>
      <c r="N63" s="18" t="s">
        <v>137</v>
      </c>
      <c r="O63" s="20" t="s">
        <v>22</v>
      </c>
      <c r="P63" s="19" t="s">
        <v>136</v>
      </c>
      <c r="Q63" s="17" t="s">
        <v>138</v>
      </c>
      <c r="R63" s="17" t="s">
        <v>139</v>
      </c>
      <c r="S63" s="17" t="s">
        <v>179</v>
      </c>
      <c r="T63" s="17" t="s">
        <v>141</v>
      </c>
      <c r="U63" s="21" t="s">
        <v>136</v>
      </c>
      <c r="V63" s="17" t="s">
        <v>142</v>
      </c>
    </row>
    <row r="64" spans="1:22" ht="38.25" x14ac:dyDescent="0.25">
      <c r="A64" s="22" t="s">
        <v>375</v>
      </c>
      <c r="B64" s="23" t="s">
        <v>475</v>
      </c>
      <c r="C64" s="22" t="s">
        <v>476</v>
      </c>
      <c r="D64" s="23">
        <v>2</v>
      </c>
      <c r="E64" s="22" t="s">
        <v>217</v>
      </c>
      <c r="F64" s="22" t="s">
        <v>216</v>
      </c>
      <c r="G64" s="22" t="s">
        <v>217</v>
      </c>
      <c r="H64" s="22" t="s">
        <v>217</v>
      </c>
      <c r="I64" s="22" t="s">
        <v>218</v>
      </c>
      <c r="J64" s="29" t="s">
        <v>219</v>
      </c>
      <c r="K64" s="29" t="s">
        <v>219</v>
      </c>
      <c r="L64" s="29" t="s">
        <v>219</v>
      </c>
      <c r="M64" s="22" t="s">
        <v>220</v>
      </c>
      <c r="N64" s="23" t="s">
        <v>137</v>
      </c>
      <c r="O64" s="29" t="s">
        <v>23</v>
      </c>
      <c r="P64" s="29" t="s">
        <v>219</v>
      </c>
      <c r="Q64" s="22" t="s">
        <v>221</v>
      </c>
      <c r="R64" s="22" t="s">
        <v>222</v>
      </c>
      <c r="S64" s="22" t="s">
        <v>223</v>
      </c>
      <c r="T64" s="22" t="s">
        <v>224</v>
      </c>
      <c r="U64" s="28" t="s">
        <v>148</v>
      </c>
      <c r="V64" s="22" t="s">
        <v>217</v>
      </c>
    </row>
    <row r="65" spans="1:22" ht="38.25" x14ac:dyDescent="0.25">
      <c r="A65" s="17" t="s">
        <v>375</v>
      </c>
      <c r="B65" s="18" t="s">
        <v>475</v>
      </c>
      <c r="C65" s="17" t="s">
        <v>477</v>
      </c>
      <c r="D65" s="18">
        <v>3</v>
      </c>
      <c r="E65" s="17" t="s">
        <v>217</v>
      </c>
      <c r="F65" s="17" t="s">
        <v>216</v>
      </c>
      <c r="G65" s="17" t="s">
        <v>217</v>
      </c>
      <c r="H65" s="17" t="s">
        <v>217</v>
      </c>
      <c r="I65" s="17" t="s">
        <v>218</v>
      </c>
      <c r="J65" s="29" t="s">
        <v>219</v>
      </c>
      <c r="K65" s="29" t="s">
        <v>219</v>
      </c>
      <c r="L65" s="29" t="s">
        <v>219</v>
      </c>
      <c r="M65" s="17" t="s">
        <v>220</v>
      </c>
      <c r="N65" s="18" t="s">
        <v>137</v>
      </c>
      <c r="O65" s="29" t="s">
        <v>23</v>
      </c>
      <c r="P65" s="29" t="s">
        <v>219</v>
      </c>
      <c r="Q65" s="17" t="s">
        <v>221</v>
      </c>
      <c r="R65" s="17" t="s">
        <v>222</v>
      </c>
      <c r="S65" s="17" t="s">
        <v>223</v>
      </c>
      <c r="T65" s="17" t="s">
        <v>224</v>
      </c>
      <c r="U65" s="26" t="s">
        <v>148</v>
      </c>
      <c r="V65" s="17" t="s">
        <v>217</v>
      </c>
    </row>
    <row r="66" spans="1:22" ht="38.25" x14ac:dyDescent="0.25">
      <c r="A66" s="22" t="s">
        <v>375</v>
      </c>
      <c r="B66" s="23" t="s">
        <v>475</v>
      </c>
      <c r="C66" s="22" t="s">
        <v>349</v>
      </c>
      <c r="D66" s="23">
        <v>7</v>
      </c>
      <c r="E66" s="22" t="s">
        <v>217</v>
      </c>
      <c r="F66" s="22" t="s">
        <v>350</v>
      </c>
      <c r="G66" s="22" t="s">
        <v>351</v>
      </c>
      <c r="H66" s="22" t="s">
        <v>352</v>
      </c>
      <c r="I66" s="22" t="s">
        <v>353</v>
      </c>
      <c r="J66" s="46" t="s">
        <v>136</v>
      </c>
      <c r="K66" s="19" t="s">
        <v>136</v>
      </c>
      <c r="L66" s="19" t="s">
        <v>136</v>
      </c>
      <c r="M66" s="17" t="s">
        <v>137</v>
      </c>
      <c r="N66" s="18" t="s">
        <v>137</v>
      </c>
      <c r="O66" s="20" t="s">
        <v>22</v>
      </c>
      <c r="P66" s="19" t="s">
        <v>136</v>
      </c>
      <c r="Q66" s="22" t="s">
        <v>157</v>
      </c>
      <c r="R66" s="22" t="s">
        <v>354</v>
      </c>
      <c r="S66" s="22" t="s">
        <v>355</v>
      </c>
      <c r="T66" s="22" t="s">
        <v>160</v>
      </c>
      <c r="U66" s="28" t="s">
        <v>148</v>
      </c>
      <c r="V66" s="22" t="s">
        <v>142</v>
      </c>
    </row>
    <row r="67" spans="1:22" ht="38.25" x14ac:dyDescent="0.25">
      <c r="A67" s="17" t="s">
        <v>375</v>
      </c>
      <c r="B67" s="18" t="s">
        <v>475</v>
      </c>
      <c r="C67" s="17" t="s">
        <v>69</v>
      </c>
      <c r="D67" s="18">
        <v>3</v>
      </c>
      <c r="E67" s="17" t="s">
        <v>217</v>
      </c>
      <c r="F67" s="17" t="s">
        <v>478</v>
      </c>
      <c r="G67" s="17" t="s">
        <v>479</v>
      </c>
      <c r="H67" s="17" t="s">
        <v>480</v>
      </c>
      <c r="I67" s="17" t="s">
        <v>481</v>
      </c>
      <c r="J67" s="46" t="s">
        <v>136</v>
      </c>
      <c r="K67" s="19" t="s">
        <v>136</v>
      </c>
      <c r="L67" s="19" t="s">
        <v>136</v>
      </c>
      <c r="M67" s="17" t="s">
        <v>137</v>
      </c>
      <c r="N67" s="18" t="s">
        <v>137</v>
      </c>
      <c r="O67" s="20" t="s">
        <v>22</v>
      </c>
      <c r="P67" s="24" t="s">
        <v>148</v>
      </c>
      <c r="Q67" s="17" t="s">
        <v>232</v>
      </c>
      <c r="R67" s="17" t="s">
        <v>70</v>
      </c>
      <c r="S67" s="17" t="s">
        <v>483</v>
      </c>
      <c r="T67" s="17" t="s">
        <v>234</v>
      </c>
      <c r="U67" s="30" t="s">
        <v>54</v>
      </c>
      <c r="V67" s="17" t="s">
        <v>142</v>
      </c>
    </row>
    <row r="68" spans="1:22" ht="38.25" x14ac:dyDescent="0.25">
      <c r="A68" s="22" t="s">
        <v>375</v>
      </c>
      <c r="B68" s="23" t="s">
        <v>475</v>
      </c>
      <c r="C68" s="22" t="s">
        <v>484</v>
      </c>
      <c r="D68" s="23">
        <v>2</v>
      </c>
      <c r="E68" s="22" t="s">
        <v>217</v>
      </c>
      <c r="F68" s="22" t="s">
        <v>485</v>
      </c>
      <c r="G68" s="22" t="s">
        <v>486</v>
      </c>
      <c r="H68" s="22" t="s">
        <v>487</v>
      </c>
      <c r="I68" s="22" t="s">
        <v>488</v>
      </c>
      <c r="J68" s="19" t="s">
        <v>136</v>
      </c>
      <c r="K68" s="19" t="s">
        <v>136</v>
      </c>
      <c r="L68" s="19" t="s">
        <v>136</v>
      </c>
      <c r="M68" s="17" t="s">
        <v>137</v>
      </c>
      <c r="N68" s="18" t="s">
        <v>137</v>
      </c>
      <c r="O68" s="20" t="s">
        <v>22</v>
      </c>
      <c r="P68" s="24" t="s">
        <v>148</v>
      </c>
      <c r="Q68" s="22" t="s">
        <v>490</v>
      </c>
      <c r="R68" s="22" t="s">
        <v>491</v>
      </c>
      <c r="S68" s="22" t="s">
        <v>492</v>
      </c>
      <c r="T68" s="22" t="s">
        <v>160</v>
      </c>
      <c r="U68" s="25" t="s">
        <v>136</v>
      </c>
      <c r="V68" s="22" t="s">
        <v>142</v>
      </c>
    </row>
    <row r="70" spans="1:22" x14ac:dyDescent="0.25">
      <c r="A70" s="53" t="s">
        <v>372</v>
      </c>
      <c r="B70" s="53"/>
      <c r="C70" s="53"/>
      <c r="D70" s="53"/>
      <c r="E70" s="53"/>
      <c r="F70" s="53"/>
      <c r="G70" s="53"/>
      <c r="H70" s="53"/>
      <c r="I70" s="53"/>
      <c r="J70" s="53"/>
      <c r="K70" s="53"/>
      <c r="L70" s="53"/>
      <c r="M70" s="53"/>
      <c r="N70" s="53"/>
      <c r="O70" s="53"/>
      <c r="P70" s="53"/>
      <c r="Q70" s="53"/>
      <c r="R70" s="53"/>
      <c r="S70" s="53"/>
      <c r="T70" s="53"/>
      <c r="U70" s="53"/>
      <c r="V70" s="53"/>
    </row>
  </sheetData>
  <autoFilter ref="A4:V68" xr:uid="{00000000-0009-0000-0000-000002000000}"/>
  <mergeCells count="3">
    <mergeCell ref="A1:V1"/>
    <mergeCell ref="A2:V2"/>
    <mergeCell ref="A70:V7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4"/>
  <sheetViews>
    <sheetView showGridLines="0" zoomScaleNormal="100" workbookViewId="0">
      <pane xSplit="3" ySplit="4" topLeftCell="I59" activePane="bottomRight" state="frozen"/>
      <selection pane="topRight" activeCell="D1" sqref="D1"/>
      <selection pane="bottomLeft" activeCell="A5" sqref="A5"/>
      <selection pane="bottomRight" activeCell="O60" sqref="J60:O61"/>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493</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494</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495</v>
      </c>
      <c r="B5" s="18" t="s">
        <v>129</v>
      </c>
      <c r="C5" s="17" t="s">
        <v>376</v>
      </c>
      <c r="D5" s="18">
        <v>3</v>
      </c>
      <c r="E5" s="17" t="s">
        <v>131</v>
      </c>
      <c r="F5" s="17" t="s">
        <v>132</v>
      </c>
      <c r="G5" s="17" t="s">
        <v>133</v>
      </c>
      <c r="H5" s="17" t="s">
        <v>134</v>
      </c>
      <c r="I5" s="17" t="s">
        <v>135</v>
      </c>
      <c r="J5" s="19" t="s">
        <v>136</v>
      </c>
      <c r="K5" s="19" t="s">
        <v>136</v>
      </c>
      <c r="L5" s="19" t="s">
        <v>136</v>
      </c>
      <c r="M5" s="17" t="s">
        <v>137</v>
      </c>
      <c r="N5" s="18" t="s">
        <v>137</v>
      </c>
      <c r="O5" s="20" t="s">
        <v>22</v>
      </c>
      <c r="P5" s="19" t="s">
        <v>136</v>
      </c>
      <c r="Q5" s="17" t="s">
        <v>138</v>
      </c>
      <c r="R5" s="17" t="s">
        <v>139</v>
      </c>
      <c r="S5" s="17" t="s">
        <v>140</v>
      </c>
      <c r="T5" s="17" t="s">
        <v>141</v>
      </c>
      <c r="U5" s="21" t="s">
        <v>136</v>
      </c>
      <c r="V5" s="17" t="s">
        <v>142</v>
      </c>
    </row>
    <row r="6" spans="1:22" ht="25.5" x14ac:dyDescent="0.25">
      <c r="A6" s="22" t="s">
        <v>495</v>
      </c>
      <c r="B6" s="23" t="s">
        <v>129</v>
      </c>
      <c r="C6" s="22" t="s">
        <v>496</v>
      </c>
      <c r="D6" s="23">
        <v>3</v>
      </c>
      <c r="E6" s="22" t="s">
        <v>131</v>
      </c>
      <c r="F6" s="22" t="s">
        <v>132</v>
      </c>
      <c r="G6" s="22" t="s">
        <v>133</v>
      </c>
      <c r="H6" s="22" t="s">
        <v>134</v>
      </c>
      <c r="I6" s="22" t="s">
        <v>135</v>
      </c>
      <c r="J6" s="19" t="s">
        <v>136</v>
      </c>
      <c r="K6" s="19" t="s">
        <v>136</v>
      </c>
      <c r="L6" s="19" t="s">
        <v>136</v>
      </c>
      <c r="M6" s="22" t="s">
        <v>137</v>
      </c>
      <c r="N6" s="23" t="s">
        <v>137</v>
      </c>
      <c r="O6" s="20" t="s">
        <v>22</v>
      </c>
      <c r="P6" s="19" t="s">
        <v>136</v>
      </c>
      <c r="Q6" s="22" t="s">
        <v>138</v>
      </c>
      <c r="R6" s="22" t="s">
        <v>139</v>
      </c>
      <c r="S6" s="22" t="s">
        <v>140</v>
      </c>
      <c r="T6" s="22" t="s">
        <v>141</v>
      </c>
      <c r="U6" s="25" t="s">
        <v>136</v>
      </c>
      <c r="V6" s="22" t="s">
        <v>142</v>
      </c>
    </row>
    <row r="7" spans="1:22" ht="25.5" x14ac:dyDescent="0.25">
      <c r="A7" s="17" t="s">
        <v>495</v>
      </c>
      <c r="B7" s="18" t="s">
        <v>129</v>
      </c>
      <c r="C7" s="17" t="s">
        <v>378</v>
      </c>
      <c r="D7" s="18">
        <v>3</v>
      </c>
      <c r="E7" s="17" t="s">
        <v>190</v>
      </c>
      <c r="F7" s="17" t="s">
        <v>379</v>
      </c>
      <c r="G7" s="17" t="s">
        <v>380</v>
      </c>
      <c r="H7" s="17" t="s">
        <v>381</v>
      </c>
      <c r="I7" s="17" t="s">
        <v>135</v>
      </c>
      <c r="J7" s="19" t="s">
        <v>136</v>
      </c>
      <c r="K7" s="19" t="s">
        <v>136</v>
      </c>
      <c r="L7" s="19" t="s">
        <v>136</v>
      </c>
      <c r="M7" s="17" t="s">
        <v>137</v>
      </c>
      <c r="N7" s="18" t="s">
        <v>137</v>
      </c>
      <c r="O7" s="20" t="s">
        <v>22</v>
      </c>
      <c r="P7" s="19" t="s">
        <v>136</v>
      </c>
      <c r="Q7" s="17" t="s">
        <v>138</v>
      </c>
      <c r="R7" s="17" t="s">
        <v>139</v>
      </c>
      <c r="S7" s="17" t="s">
        <v>382</v>
      </c>
      <c r="T7" s="17" t="s">
        <v>141</v>
      </c>
      <c r="U7" s="21" t="s">
        <v>136</v>
      </c>
      <c r="V7" s="17" t="s">
        <v>142</v>
      </c>
    </row>
    <row r="8" spans="1:22" ht="51" x14ac:dyDescent="0.25">
      <c r="A8" s="22" t="s">
        <v>495</v>
      </c>
      <c r="B8" s="23" t="s">
        <v>129</v>
      </c>
      <c r="C8" s="22" t="s">
        <v>151</v>
      </c>
      <c r="D8" s="23">
        <v>3</v>
      </c>
      <c r="E8" s="22" t="s">
        <v>190</v>
      </c>
      <c r="F8" s="22" t="s">
        <v>153</v>
      </c>
      <c r="G8" s="22" t="s">
        <v>154</v>
      </c>
      <c r="H8" s="22" t="s">
        <v>155</v>
      </c>
      <c r="I8" s="22" t="s">
        <v>156</v>
      </c>
      <c r="J8" s="19" t="s">
        <v>136</v>
      </c>
      <c r="K8" s="19" t="s">
        <v>136</v>
      </c>
      <c r="L8" s="19" t="s">
        <v>136</v>
      </c>
      <c r="M8" s="17" t="s">
        <v>137</v>
      </c>
      <c r="N8" s="18" t="s">
        <v>137</v>
      </c>
      <c r="O8" s="20" t="s">
        <v>22</v>
      </c>
      <c r="P8" s="24" t="s">
        <v>148</v>
      </c>
      <c r="Q8" s="22" t="s">
        <v>157</v>
      </c>
      <c r="R8" s="22" t="s">
        <v>158</v>
      </c>
      <c r="S8" s="22" t="s">
        <v>159</v>
      </c>
      <c r="T8" s="22" t="s">
        <v>160</v>
      </c>
      <c r="U8" s="28" t="s">
        <v>148</v>
      </c>
      <c r="V8" s="22" t="s">
        <v>142</v>
      </c>
    </row>
    <row r="9" spans="1:22" ht="25.5" x14ac:dyDescent="0.25">
      <c r="A9" s="17" t="s">
        <v>495</v>
      </c>
      <c r="B9" s="18" t="s">
        <v>129</v>
      </c>
      <c r="C9" s="17" t="s">
        <v>174</v>
      </c>
      <c r="D9" s="18">
        <v>1</v>
      </c>
      <c r="E9" s="17" t="s">
        <v>162</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495</v>
      </c>
      <c r="B10" s="23" t="s">
        <v>129</v>
      </c>
      <c r="C10" s="22" t="s">
        <v>161</v>
      </c>
      <c r="D10" s="23">
        <v>2</v>
      </c>
      <c r="E10" s="22" t="s">
        <v>162</v>
      </c>
      <c r="F10" s="22" t="s">
        <v>163</v>
      </c>
      <c r="G10" s="22" t="s">
        <v>164</v>
      </c>
      <c r="H10" s="22" t="s">
        <v>165</v>
      </c>
      <c r="I10" s="22" t="s">
        <v>136</v>
      </c>
      <c r="J10" s="19" t="s">
        <v>136</v>
      </c>
      <c r="K10" s="19" t="s">
        <v>136</v>
      </c>
      <c r="L10" s="19" t="s">
        <v>136</v>
      </c>
      <c r="M10" s="22" t="s">
        <v>137</v>
      </c>
      <c r="N10" s="23" t="s">
        <v>137</v>
      </c>
      <c r="O10" s="20" t="s">
        <v>22</v>
      </c>
      <c r="P10" s="19" t="s">
        <v>136</v>
      </c>
      <c r="Q10" s="22" t="s">
        <v>138</v>
      </c>
      <c r="R10" s="22" t="s">
        <v>139</v>
      </c>
      <c r="S10" s="22" t="s">
        <v>166</v>
      </c>
      <c r="T10" s="22" t="s">
        <v>141</v>
      </c>
      <c r="U10" s="25" t="s">
        <v>136</v>
      </c>
      <c r="V10" s="22" t="s">
        <v>142</v>
      </c>
    </row>
    <row r="11" spans="1:22" ht="25.5" x14ac:dyDescent="0.25">
      <c r="A11" s="17" t="s">
        <v>495</v>
      </c>
      <c r="B11" s="18" t="s">
        <v>129</v>
      </c>
      <c r="C11" s="17" t="s">
        <v>167</v>
      </c>
      <c r="D11" s="18">
        <v>2</v>
      </c>
      <c r="E11" s="17" t="s">
        <v>162</v>
      </c>
      <c r="F11" s="17" t="s">
        <v>163</v>
      </c>
      <c r="G11" s="17" t="s">
        <v>164</v>
      </c>
      <c r="H11" s="17" t="s">
        <v>165</v>
      </c>
      <c r="I11" s="17" t="s">
        <v>136</v>
      </c>
      <c r="J11" s="19" t="s">
        <v>136</v>
      </c>
      <c r="K11" s="19" t="s">
        <v>136</v>
      </c>
      <c r="L11" s="19" t="s">
        <v>136</v>
      </c>
      <c r="M11" s="17" t="s">
        <v>137</v>
      </c>
      <c r="N11" s="18" t="s">
        <v>137</v>
      </c>
      <c r="O11" s="20" t="s">
        <v>22</v>
      </c>
      <c r="P11" s="19" t="s">
        <v>136</v>
      </c>
      <c r="Q11" s="17" t="s">
        <v>138</v>
      </c>
      <c r="R11" s="17" t="s">
        <v>139</v>
      </c>
      <c r="S11" s="17" t="s">
        <v>166</v>
      </c>
      <c r="T11" s="17" t="s">
        <v>141</v>
      </c>
      <c r="U11" s="21" t="s">
        <v>136</v>
      </c>
      <c r="V11" s="17" t="s">
        <v>142</v>
      </c>
    </row>
    <row r="12" spans="1:22" ht="25.5" x14ac:dyDescent="0.25">
      <c r="A12" s="22" t="s">
        <v>495</v>
      </c>
      <c r="B12" s="23" t="s">
        <v>129</v>
      </c>
      <c r="C12" s="22" t="s">
        <v>175</v>
      </c>
      <c r="D12" s="23">
        <v>2</v>
      </c>
      <c r="E12" s="22" t="s">
        <v>162</v>
      </c>
      <c r="F12" s="22" t="s">
        <v>176</v>
      </c>
      <c r="G12" s="22" t="s">
        <v>177</v>
      </c>
      <c r="H12" s="22" t="s">
        <v>178</v>
      </c>
      <c r="I12" s="22" t="s">
        <v>135</v>
      </c>
      <c r="J12" s="19" t="s">
        <v>136</v>
      </c>
      <c r="K12" s="19" t="s">
        <v>136</v>
      </c>
      <c r="L12" s="19" t="s">
        <v>136</v>
      </c>
      <c r="M12" s="22" t="s">
        <v>137</v>
      </c>
      <c r="N12" s="23" t="s">
        <v>137</v>
      </c>
      <c r="O12" s="20" t="s">
        <v>22</v>
      </c>
      <c r="P12" s="19" t="s">
        <v>136</v>
      </c>
      <c r="Q12" s="22" t="s">
        <v>138</v>
      </c>
      <c r="R12" s="22" t="s">
        <v>139</v>
      </c>
      <c r="S12" s="22" t="s">
        <v>179</v>
      </c>
      <c r="T12" s="22" t="s">
        <v>141</v>
      </c>
      <c r="U12" s="25" t="s">
        <v>136</v>
      </c>
      <c r="V12" s="22" t="s">
        <v>142</v>
      </c>
    </row>
    <row r="13" spans="1:22" ht="25.5" x14ac:dyDescent="0.25">
      <c r="A13" s="17" t="s">
        <v>495</v>
      </c>
      <c r="B13" s="18" t="s">
        <v>180</v>
      </c>
      <c r="C13" s="17" t="s">
        <v>183</v>
      </c>
      <c r="D13" s="18">
        <v>4</v>
      </c>
      <c r="E13" s="17" t="s">
        <v>131</v>
      </c>
      <c r="F13" s="17" t="s">
        <v>184</v>
      </c>
      <c r="G13" s="17" t="s">
        <v>185</v>
      </c>
      <c r="H13" s="17" t="s">
        <v>186</v>
      </c>
      <c r="I13" s="17" t="s">
        <v>147</v>
      </c>
      <c r="J13" s="19" t="s">
        <v>136</v>
      </c>
      <c r="K13" s="19" t="s">
        <v>136</v>
      </c>
      <c r="L13" s="19" t="s">
        <v>136</v>
      </c>
      <c r="M13" s="17" t="s">
        <v>137</v>
      </c>
      <c r="N13" s="18" t="s">
        <v>137</v>
      </c>
      <c r="O13" s="20" t="s">
        <v>22</v>
      </c>
      <c r="P13" s="24" t="s">
        <v>148</v>
      </c>
      <c r="Q13" s="17" t="s">
        <v>187</v>
      </c>
      <c r="R13" s="17" t="s">
        <v>139</v>
      </c>
      <c r="S13" s="17" t="s">
        <v>188</v>
      </c>
      <c r="T13" s="17" t="s">
        <v>141</v>
      </c>
      <c r="U13" s="21" t="s">
        <v>136</v>
      </c>
      <c r="V13" s="17" t="s">
        <v>142</v>
      </c>
    </row>
    <row r="14" spans="1:22" ht="25.5" x14ac:dyDescent="0.25">
      <c r="A14" s="22" t="s">
        <v>495</v>
      </c>
      <c r="B14" s="23" t="s">
        <v>180</v>
      </c>
      <c r="C14" s="22" t="s">
        <v>181</v>
      </c>
      <c r="D14" s="23">
        <v>4</v>
      </c>
      <c r="E14" s="22" t="s">
        <v>131</v>
      </c>
      <c r="F14" s="22" t="s">
        <v>132</v>
      </c>
      <c r="G14" s="22" t="s">
        <v>133</v>
      </c>
      <c r="H14" s="22" t="s">
        <v>134</v>
      </c>
      <c r="I14" s="22" t="s">
        <v>135</v>
      </c>
      <c r="J14" s="19" t="s">
        <v>136</v>
      </c>
      <c r="K14" s="19" t="s">
        <v>136</v>
      </c>
      <c r="L14" s="19" t="s">
        <v>136</v>
      </c>
      <c r="M14" s="22" t="s">
        <v>137</v>
      </c>
      <c r="N14" s="23" t="s">
        <v>137</v>
      </c>
      <c r="O14" s="20" t="s">
        <v>22</v>
      </c>
      <c r="P14" s="19" t="s">
        <v>136</v>
      </c>
      <c r="Q14" s="22" t="s">
        <v>138</v>
      </c>
      <c r="R14" s="22" t="s">
        <v>139</v>
      </c>
      <c r="S14" s="22" t="s">
        <v>140</v>
      </c>
      <c r="T14" s="22" t="s">
        <v>141</v>
      </c>
      <c r="U14" s="25" t="s">
        <v>136</v>
      </c>
      <c r="V14" s="22" t="s">
        <v>142</v>
      </c>
    </row>
    <row r="15" spans="1:22" ht="25.5" x14ac:dyDescent="0.25">
      <c r="A15" s="17" t="s">
        <v>495</v>
      </c>
      <c r="B15" s="18" t="s">
        <v>180</v>
      </c>
      <c r="C15" s="17" t="s">
        <v>392</v>
      </c>
      <c r="D15" s="18">
        <v>3</v>
      </c>
      <c r="E15" s="17" t="s">
        <v>190</v>
      </c>
      <c r="F15" s="17" t="s">
        <v>379</v>
      </c>
      <c r="G15" s="17" t="s">
        <v>380</v>
      </c>
      <c r="H15" s="17" t="s">
        <v>381</v>
      </c>
      <c r="I15" s="17" t="s">
        <v>135</v>
      </c>
      <c r="J15" s="19" t="s">
        <v>136</v>
      </c>
      <c r="K15" s="19" t="s">
        <v>136</v>
      </c>
      <c r="L15" s="19" t="s">
        <v>136</v>
      </c>
      <c r="M15" s="17" t="s">
        <v>137</v>
      </c>
      <c r="N15" s="18" t="s">
        <v>137</v>
      </c>
      <c r="O15" s="20" t="s">
        <v>22</v>
      </c>
      <c r="P15" s="19" t="s">
        <v>136</v>
      </c>
      <c r="Q15" s="17" t="s">
        <v>138</v>
      </c>
      <c r="R15" s="17" t="s">
        <v>139</v>
      </c>
      <c r="S15" s="17" t="s">
        <v>382</v>
      </c>
      <c r="T15" s="17" t="s">
        <v>141</v>
      </c>
      <c r="U15" s="21" t="s">
        <v>136</v>
      </c>
      <c r="V15" s="17" t="s">
        <v>142</v>
      </c>
    </row>
    <row r="16" spans="1:22" ht="25.5" x14ac:dyDescent="0.25">
      <c r="A16" s="22" t="s">
        <v>495</v>
      </c>
      <c r="B16" s="23" t="s">
        <v>180</v>
      </c>
      <c r="C16" s="22" t="s">
        <v>497</v>
      </c>
      <c r="D16" s="23">
        <v>2</v>
      </c>
      <c r="E16" s="22" t="s">
        <v>152</v>
      </c>
      <c r="F16" s="22" t="s">
        <v>498</v>
      </c>
      <c r="G16" s="22" t="s">
        <v>499</v>
      </c>
      <c r="H16" s="22" t="s">
        <v>500</v>
      </c>
      <c r="I16" s="22" t="s">
        <v>136</v>
      </c>
      <c r="J16" s="19" t="s">
        <v>136</v>
      </c>
      <c r="K16" s="19" t="s">
        <v>136</v>
      </c>
      <c r="L16" s="19" t="s">
        <v>136</v>
      </c>
      <c r="M16" s="22" t="s">
        <v>137</v>
      </c>
      <c r="N16" s="23" t="s">
        <v>137</v>
      </c>
      <c r="O16" s="20" t="s">
        <v>22</v>
      </c>
      <c r="P16" s="24" t="s">
        <v>148</v>
      </c>
      <c r="Q16" s="22" t="s">
        <v>501</v>
      </c>
      <c r="R16" s="22" t="s">
        <v>139</v>
      </c>
      <c r="S16" s="22" t="s">
        <v>502</v>
      </c>
      <c r="T16" s="22" t="s">
        <v>141</v>
      </c>
      <c r="U16" s="25" t="s">
        <v>136</v>
      </c>
      <c r="V16" s="22" t="s">
        <v>142</v>
      </c>
    </row>
    <row r="17" spans="1:22" ht="25.5" x14ac:dyDescent="0.25">
      <c r="A17" s="17" t="s">
        <v>495</v>
      </c>
      <c r="B17" s="18" t="s">
        <v>180</v>
      </c>
      <c r="C17" s="17" t="s">
        <v>195</v>
      </c>
      <c r="D17" s="18">
        <v>2</v>
      </c>
      <c r="E17" s="17" t="s">
        <v>162</v>
      </c>
      <c r="F17" s="17" t="s">
        <v>163</v>
      </c>
      <c r="G17" s="17" t="s">
        <v>164</v>
      </c>
      <c r="H17" s="17" t="s">
        <v>165</v>
      </c>
      <c r="I17" s="17" t="s">
        <v>136</v>
      </c>
      <c r="J17" s="19" t="s">
        <v>136</v>
      </c>
      <c r="K17" s="19" t="s">
        <v>136</v>
      </c>
      <c r="L17" s="19" t="s">
        <v>136</v>
      </c>
      <c r="M17" s="17" t="s">
        <v>137</v>
      </c>
      <c r="N17" s="18" t="s">
        <v>137</v>
      </c>
      <c r="O17" s="20" t="s">
        <v>22</v>
      </c>
      <c r="P17" s="19" t="s">
        <v>136</v>
      </c>
      <c r="Q17" s="17" t="s">
        <v>138</v>
      </c>
      <c r="R17" s="17" t="s">
        <v>139</v>
      </c>
      <c r="S17" s="17" t="s">
        <v>166</v>
      </c>
      <c r="T17" s="17" t="s">
        <v>141</v>
      </c>
      <c r="U17" s="21" t="s">
        <v>136</v>
      </c>
      <c r="V17" s="17" t="s">
        <v>142</v>
      </c>
    </row>
    <row r="18" spans="1:22" ht="25.5" x14ac:dyDescent="0.25">
      <c r="A18" s="22" t="s">
        <v>495</v>
      </c>
      <c r="B18" s="23" t="s">
        <v>180</v>
      </c>
      <c r="C18" s="22" t="s">
        <v>168</v>
      </c>
      <c r="D18" s="23">
        <v>1</v>
      </c>
      <c r="E18" s="22" t="s">
        <v>162</v>
      </c>
      <c r="F18" s="22" t="s">
        <v>169</v>
      </c>
      <c r="G18" s="22" t="s">
        <v>170</v>
      </c>
      <c r="H18" s="22" t="s">
        <v>171</v>
      </c>
      <c r="I18" s="22" t="s">
        <v>135</v>
      </c>
      <c r="J18" s="19" t="s">
        <v>136</v>
      </c>
      <c r="K18" s="19" t="s">
        <v>136</v>
      </c>
      <c r="L18" s="19" t="s">
        <v>136</v>
      </c>
      <c r="M18" s="22" t="s">
        <v>137</v>
      </c>
      <c r="N18" s="23" t="s">
        <v>137</v>
      </c>
      <c r="O18" s="20" t="s">
        <v>22</v>
      </c>
      <c r="P18" s="19" t="s">
        <v>136</v>
      </c>
      <c r="Q18" s="22" t="s">
        <v>138</v>
      </c>
      <c r="R18" s="22" t="s">
        <v>139</v>
      </c>
      <c r="S18" s="22" t="s">
        <v>172</v>
      </c>
      <c r="T18" s="22" t="s">
        <v>141</v>
      </c>
      <c r="U18" s="25" t="s">
        <v>136</v>
      </c>
      <c r="V18" s="22" t="s">
        <v>142</v>
      </c>
    </row>
    <row r="19" spans="1:22" ht="25.5" x14ac:dyDescent="0.25">
      <c r="A19" s="17" t="s">
        <v>495</v>
      </c>
      <c r="B19" s="18" t="s">
        <v>180</v>
      </c>
      <c r="C19" s="17" t="s">
        <v>197</v>
      </c>
      <c r="D19" s="18">
        <v>2</v>
      </c>
      <c r="E19" s="17" t="s">
        <v>162</v>
      </c>
      <c r="F19" s="17" t="s">
        <v>176</v>
      </c>
      <c r="G19" s="17" t="s">
        <v>177</v>
      </c>
      <c r="H19" s="17" t="s">
        <v>178</v>
      </c>
      <c r="I19" s="17" t="s">
        <v>135</v>
      </c>
      <c r="J19" s="19" t="s">
        <v>136</v>
      </c>
      <c r="K19" s="19" t="s">
        <v>136</v>
      </c>
      <c r="L19" s="19" t="s">
        <v>136</v>
      </c>
      <c r="M19" s="17" t="s">
        <v>137</v>
      </c>
      <c r="N19" s="18" t="s">
        <v>137</v>
      </c>
      <c r="O19" s="20" t="s">
        <v>22</v>
      </c>
      <c r="P19" s="19" t="s">
        <v>136</v>
      </c>
      <c r="Q19" s="17" t="s">
        <v>138</v>
      </c>
      <c r="R19" s="17" t="s">
        <v>139</v>
      </c>
      <c r="S19" s="17" t="s">
        <v>179</v>
      </c>
      <c r="T19" s="17" t="s">
        <v>141</v>
      </c>
      <c r="U19" s="21" t="s">
        <v>136</v>
      </c>
      <c r="V19" s="17" t="s">
        <v>142</v>
      </c>
    </row>
    <row r="20" spans="1:22" ht="25.5" x14ac:dyDescent="0.25">
      <c r="A20" s="22" t="s">
        <v>495</v>
      </c>
      <c r="B20" s="23" t="s">
        <v>198</v>
      </c>
      <c r="C20" s="22" t="s">
        <v>199</v>
      </c>
      <c r="D20" s="23">
        <v>3</v>
      </c>
      <c r="E20" s="22" t="s">
        <v>131</v>
      </c>
      <c r="F20" s="22" t="s">
        <v>132</v>
      </c>
      <c r="G20" s="22" t="s">
        <v>133</v>
      </c>
      <c r="H20" s="22" t="s">
        <v>134</v>
      </c>
      <c r="I20" s="22" t="s">
        <v>135</v>
      </c>
      <c r="J20" s="19" t="s">
        <v>136</v>
      </c>
      <c r="K20" s="19" t="s">
        <v>136</v>
      </c>
      <c r="L20" s="19" t="s">
        <v>136</v>
      </c>
      <c r="M20" s="22" t="s">
        <v>137</v>
      </c>
      <c r="N20" s="23" t="s">
        <v>137</v>
      </c>
      <c r="O20" s="20" t="s">
        <v>22</v>
      </c>
      <c r="P20" s="19" t="s">
        <v>136</v>
      </c>
      <c r="Q20" s="22" t="s">
        <v>138</v>
      </c>
      <c r="R20" s="22" t="s">
        <v>139</v>
      </c>
      <c r="S20" s="22" t="s">
        <v>140</v>
      </c>
      <c r="T20" s="22" t="s">
        <v>141</v>
      </c>
      <c r="U20" s="25" t="s">
        <v>136</v>
      </c>
      <c r="V20" s="22" t="s">
        <v>142</v>
      </c>
    </row>
    <row r="21" spans="1:22" ht="25.5" x14ac:dyDescent="0.25">
      <c r="A21" s="17" t="s">
        <v>495</v>
      </c>
      <c r="B21" s="18" t="s">
        <v>198</v>
      </c>
      <c r="C21" s="17" t="s">
        <v>182</v>
      </c>
      <c r="D21" s="18">
        <v>3</v>
      </c>
      <c r="E21" s="17" t="s">
        <v>131</v>
      </c>
      <c r="F21" s="17" t="s">
        <v>132</v>
      </c>
      <c r="G21" s="17" t="s">
        <v>133</v>
      </c>
      <c r="H21" s="17" t="s">
        <v>134</v>
      </c>
      <c r="I21" s="17" t="s">
        <v>135</v>
      </c>
      <c r="J21" s="19" t="s">
        <v>136</v>
      </c>
      <c r="K21" s="19" t="s">
        <v>136</v>
      </c>
      <c r="L21" s="19" t="s">
        <v>136</v>
      </c>
      <c r="M21" s="17" t="s">
        <v>137</v>
      </c>
      <c r="N21" s="18" t="s">
        <v>137</v>
      </c>
      <c r="O21" s="20" t="s">
        <v>22</v>
      </c>
      <c r="P21" s="19" t="s">
        <v>136</v>
      </c>
      <c r="Q21" s="17" t="s">
        <v>138</v>
      </c>
      <c r="R21" s="17" t="s">
        <v>139</v>
      </c>
      <c r="S21" s="17" t="s">
        <v>140</v>
      </c>
      <c r="T21" s="17" t="s">
        <v>141</v>
      </c>
      <c r="U21" s="21" t="s">
        <v>136</v>
      </c>
      <c r="V21" s="17" t="s">
        <v>142</v>
      </c>
    </row>
    <row r="22" spans="1:22" ht="25.5" x14ac:dyDescent="0.25">
      <c r="A22" s="22" t="s">
        <v>495</v>
      </c>
      <c r="B22" s="23" t="s">
        <v>198</v>
      </c>
      <c r="C22" s="22" t="s">
        <v>503</v>
      </c>
      <c r="D22" s="23">
        <v>3</v>
      </c>
      <c r="E22" s="22" t="s">
        <v>152</v>
      </c>
      <c r="F22" s="22" t="s">
        <v>504</v>
      </c>
      <c r="G22" s="22" t="s">
        <v>505</v>
      </c>
      <c r="H22" s="22" t="s">
        <v>506</v>
      </c>
      <c r="I22" s="22" t="s">
        <v>507</v>
      </c>
      <c r="J22" s="19" t="s">
        <v>136</v>
      </c>
      <c r="K22" s="19" t="s">
        <v>136</v>
      </c>
      <c r="L22" s="19" t="s">
        <v>136</v>
      </c>
      <c r="M22" s="17" t="s">
        <v>137</v>
      </c>
      <c r="N22" s="18" t="s">
        <v>137</v>
      </c>
      <c r="O22" s="20" t="s">
        <v>22</v>
      </c>
      <c r="P22" s="24" t="s">
        <v>148</v>
      </c>
      <c r="Q22" s="22" t="s">
        <v>157</v>
      </c>
      <c r="R22" s="22" t="s">
        <v>404</v>
      </c>
      <c r="S22" s="22" t="s">
        <v>508</v>
      </c>
      <c r="T22" s="22" t="s">
        <v>241</v>
      </c>
      <c r="U22" s="28" t="s">
        <v>148</v>
      </c>
      <c r="V22" s="22" t="s">
        <v>142</v>
      </c>
    </row>
    <row r="23" spans="1:22" ht="25.5" x14ac:dyDescent="0.25">
      <c r="A23" s="17" t="s">
        <v>495</v>
      </c>
      <c r="B23" s="18" t="s">
        <v>198</v>
      </c>
      <c r="C23" s="17" t="s">
        <v>509</v>
      </c>
      <c r="D23" s="18">
        <v>2</v>
      </c>
      <c r="E23" s="17" t="s">
        <v>152</v>
      </c>
      <c r="F23" s="17" t="s">
        <v>498</v>
      </c>
      <c r="G23" s="17" t="s">
        <v>499</v>
      </c>
      <c r="H23" s="17" t="s">
        <v>500</v>
      </c>
      <c r="I23" s="17" t="s">
        <v>136</v>
      </c>
      <c r="J23" s="19" t="s">
        <v>136</v>
      </c>
      <c r="K23" s="19" t="s">
        <v>136</v>
      </c>
      <c r="L23" s="19" t="s">
        <v>136</v>
      </c>
      <c r="M23" s="17" t="s">
        <v>137</v>
      </c>
      <c r="N23" s="18" t="s">
        <v>137</v>
      </c>
      <c r="O23" s="20" t="s">
        <v>22</v>
      </c>
      <c r="P23" s="24" t="s">
        <v>148</v>
      </c>
      <c r="Q23" s="17" t="s">
        <v>501</v>
      </c>
      <c r="R23" s="17" t="s">
        <v>139</v>
      </c>
      <c r="S23" s="17" t="s">
        <v>502</v>
      </c>
      <c r="T23" s="17" t="s">
        <v>141</v>
      </c>
      <c r="U23" s="21" t="s">
        <v>136</v>
      </c>
      <c r="V23" s="17" t="s">
        <v>142</v>
      </c>
    </row>
    <row r="24" spans="1:22" ht="25.5" x14ac:dyDescent="0.25">
      <c r="A24" s="22" t="s">
        <v>495</v>
      </c>
      <c r="B24" s="23" t="s">
        <v>198</v>
      </c>
      <c r="C24" s="22" t="s">
        <v>211</v>
      </c>
      <c r="D24" s="23">
        <v>2</v>
      </c>
      <c r="E24" s="22" t="s">
        <v>162</v>
      </c>
      <c r="F24" s="22" t="s">
        <v>163</v>
      </c>
      <c r="G24" s="22" t="s">
        <v>164</v>
      </c>
      <c r="H24" s="22" t="s">
        <v>165</v>
      </c>
      <c r="I24" s="22" t="s">
        <v>136</v>
      </c>
      <c r="J24" s="19" t="s">
        <v>136</v>
      </c>
      <c r="K24" s="19" t="s">
        <v>136</v>
      </c>
      <c r="L24" s="19" t="s">
        <v>136</v>
      </c>
      <c r="M24" s="22" t="s">
        <v>137</v>
      </c>
      <c r="N24" s="23" t="s">
        <v>137</v>
      </c>
      <c r="O24" s="20" t="s">
        <v>22</v>
      </c>
      <c r="P24" s="19" t="s">
        <v>136</v>
      </c>
      <c r="Q24" s="22" t="s">
        <v>138</v>
      </c>
      <c r="R24" s="22" t="s">
        <v>139</v>
      </c>
      <c r="S24" s="22" t="s">
        <v>166</v>
      </c>
      <c r="T24" s="22" t="s">
        <v>141</v>
      </c>
      <c r="U24" s="25" t="s">
        <v>136</v>
      </c>
      <c r="V24" s="22" t="s">
        <v>142</v>
      </c>
    </row>
    <row r="25" spans="1:22" ht="25.5" x14ac:dyDescent="0.25">
      <c r="A25" s="17" t="s">
        <v>495</v>
      </c>
      <c r="B25" s="18" t="s">
        <v>198</v>
      </c>
      <c r="C25" s="17" t="s">
        <v>242</v>
      </c>
      <c r="D25" s="18">
        <v>2</v>
      </c>
      <c r="E25" s="17" t="s">
        <v>162</v>
      </c>
      <c r="F25" s="17" t="s">
        <v>163</v>
      </c>
      <c r="G25" s="17" t="s">
        <v>164</v>
      </c>
      <c r="H25" s="17" t="s">
        <v>165</v>
      </c>
      <c r="I25" s="17" t="s">
        <v>136</v>
      </c>
      <c r="J25" s="19" t="s">
        <v>136</v>
      </c>
      <c r="K25" s="19" t="s">
        <v>136</v>
      </c>
      <c r="L25" s="19" t="s">
        <v>136</v>
      </c>
      <c r="M25" s="17" t="s">
        <v>137</v>
      </c>
      <c r="N25" s="18" t="s">
        <v>137</v>
      </c>
      <c r="O25" s="20" t="s">
        <v>22</v>
      </c>
      <c r="P25" s="19" t="s">
        <v>136</v>
      </c>
      <c r="Q25" s="17" t="s">
        <v>138</v>
      </c>
      <c r="R25" s="17" t="s">
        <v>139</v>
      </c>
      <c r="S25" s="17" t="s">
        <v>166</v>
      </c>
      <c r="T25" s="17" t="s">
        <v>141</v>
      </c>
      <c r="U25" s="21" t="s">
        <v>136</v>
      </c>
      <c r="V25" s="17" t="s">
        <v>142</v>
      </c>
    </row>
    <row r="26" spans="1:22" ht="25.5" x14ac:dyDescent="0.25">
      <c r="A26" s="22" t="s">
        <v>495</v>
      </c>
      <c r="B26" s="23" t="s">
        <v>198</v>
      </c>
      <c r="C26" s="22" t="s">
        <v>173</v>
      </c>
      <c r="D26" s="23">
        <v>1</v>
      </c>
      <c r="E26" s="22" t="s">
        <v>162</v>
      </c>
      <c r="F26" s="22" t="s">
        <v>169</v>
      </c>
      <c r="G26" s="22" t="s">
        <v>170</v>
      </c>
      <c r="H26" s="22" t="s">
        <v>171</v>
      </c>
      <c r="I26" s="22" t="s">
        <v>135</v>
      </c>
      <c r="J26" s="19" t="s">
        <v>136</v>
      </c>
      <c r="K26" s="19" t="s">
        <v>136</v>
      </c>
      <c r="L26" s="19" t="s">
        <v>136</v>
      </c>
      <c r="M26" s="22" t="s">
        <v>137</v>
      </c>
      <c r="N26" s="23" t="s">
        <v>137</v>
      </c>
      <c r="O26" s="20" t="s">
        <v>22</v>
      </c>
      <c r="P26" s="19" t="s">
        <v>136</v>
      </c>
      <c r="Q26" s="22" t="s">
        <v>138</v>
      </c>
      <c r="R26" s="22" t="s">
        <v>139</v>
      </c>
      <c r="S26" s="22" t="s">
        <v>172</v>
      </c>
      <c r="T26" s="22" t="s">
        <v>141</v>
      </c>
      <c r="U26" s="25" t="s">
        <v>136</v>
      </c>
      <c r="V26" s="22" t="s">
        <v>142</v>
      </c>
    </row>
    <row r="27" spans="1:22" ht="25.5" x14ac:dyDescent="0.25">
      <c r="A27" s="17" t="s">
        <v>495</v>
      </c>
      <c r="B27" s="18" t="s">
        <v>198</v>
      </c>
      <c r="C27" s="17" t="s">
        <v>213</v>
      </c>
      <c r="D27" s="18">
        <v>2</v>
      </c>
      <c r="E27" s="17" t="s">
        <v>162</v>
      </c>
      <c r="F27" s="17" t="s">
        <v>176</v>
      </c>
      <c r="G27" s="17" t="s">
        <v>177</v>
      </c>
      <c r="H27" s="17" t="s">
        <v>178</v>
      </c>
      <c r="I27" s="17" t="s">
        <v>135</v>
      </c>
      <c r="J27" s="19" t="s">
        <v>136</v>
      </c>
      <c r="K27" s="19" t="s">
        <v>136</v>
      </c>
      <c r="L27" s="19" t="s">
        <v>136</v>
      </c>
      <c r="M27" s="17" t="s">
        <v>137</v>
      </c>
      <c r="N27" s="18" t="s">
        <v>137</v>
      </c>
      <c r="O27" s="20" t="s">
        <v>22</v>
      </c>
      <c r="P27" s="19" t="s">
        <v>136</v>
      </c>
      <c r="Q27" s="17" t="s">
        <v>138</v>
      </c>
      <c r="R27" s="17" t="s">
        <v>139</v>
      </c>
      <c r="S27" s="17" t="s">
        <v>179</v>
      </c>
      <c r="T27" s="17" t="s">
        <v>141</v>
      </c>
      <c r="U27" s="21" t="s">
        <v>136</v>
      </c>
      <c r="V27" s="17" t="s">
        <v>142</v>
      </c>
    </row>
    <row r="28" spans="1:22" ht="25.5" x14ac:dyDescent="0.25">
      <c r="A28" s="22" t="s">
        <v>495</v>
      </c>
      <c r="B28" s="23" t="s">
        <v>214</v>
      </c>
      <c r="C28" s="22" t="s">
        <v>510</v>
      </c>
      <c r="D28" s="23">
        <v>3</v>
      </c>
      <c r="E28" s="22" t="s">
        <v>131</v>
      </c>
      <c r="F28" s="22" t="s">
        <v>132</v>
      </c>
      <c r="G28" s="22" t="s">
        <v>133</v>
      </c>
      <c r="H28" s="22" t="s">
        <v>134</v>
      </c>
      <c r="I28" s="22" t="s">
        <v>135</v>
      </c>
      <c r="J28" s="19" t="s">
        <v>136</v>
      </c>
      <c r="K28" s="19" t="s">
        <v>136</v>
      </c>
      <c r="L28" s="19" t="s">
        <v>136</v>
      </c>
      <c r="M28" s="22" t="s">
        <v>137</v>
      </c>
      <c r="N28" s="23" t="s">
        <v>137</v>
      </c>
      <c r="O28" s="20" t="s">
        <v>22</v>
      </c>
      <c r="P28" s="19" t="s">
        <v>136</v>
      </c>
      <c r="Q28" s="22" t="s">
        <v>138</v>
      </c>
      <c r="R28" s="22" t="s">
        <v>139</v>
      </c>
      <c r="S28" s="22" t="s">
        <v>140</v>
      </c>
      <c r="T28" s="22" t="s">
        <v>141</v>
      </c>
      <c r="U28" s="25" t="s">
        <v>136</v>
      </c>
      <c r="V28" s="22" t="s">
        <v>142</v>
      </c>
    </row>
    <row r="29" spans="1:22" ht="25.5" x14ac:dyDescent="0.25">
      <c r="A29" s="17" t="s">
        <v>495</v>
      </c>
      <c r="B29" s="18" t="s">
        <v>214</v>
      </c>
      <c r="C29" s="17" t="s">
        <v>200</v>
      </c>
      <c r="D29" s="18">
        <v>3</v>
      </c>
      <c r="E29" s="17" t="s">
        <v>131</v>
      </c>
      <c r="F29" s="17" t="s">
        <v>132</v>
      </c>
      <c r="G29" s="17" t="s">
        <v>133</v>
      </c>
      <c r="H29" s="17" t="s">
        <v>134</v>
      </c>
      <c r="I29" s="17" t="s">
        <v>135</v>
      </c>
      <c r="J29" s="19" t="s">
        <v>136</v>
      </c>
      <c r="K29" s="19" t="s">
        <v>136</v>
      </c>
      <c r="L29" s="19" t="s">
        <v>136</v>
      </c>
      <c r="M29" s="17" t="s">
        <v>137</v>
      </c>
      <c r="N29" s="18" t="s">
        <v>137</v>
      </c>
      <c r="O29" s="20" t="s">
        <v>22</v>
      </c>
      <c r="P29" s="19" t="s">
        <v>136</v>
      </c>
      <c r="Q29" s="17" t="s">
        <v>138</v>
      </c>
      <c r="R29" s="17" t="s">
        <v>139</v>
      </c>
      <c r="S29" s="17" t="s">
        <v>140</v>
      </c>
      <c r="T29" s="17" t="s">
        <v>141</v>
      </c>
      <c r="U29" s="21" t="s">
        <v>136</v>
      </c>
      <c r="V29" s="17" t="s">
        <v>142</v>
      </c>
    </row>
    <row r="30" spans="1:22" ht="25.5" x14ac:dyDescent="0.25">
      <c r="A30" s="22" t="s">
        <v>495</v>
      </c>
      <c r="B30" s="23" t="s">
        <v>214</v>
      </c>
      <c r="C30" s="22" t="s">
        <v>511</v>
      </c>
      <c r="D30" s="23">
        <v>3</v>
      </c>
      <c r="E30" s="22" t="s">
        <v>190</v>
      </c>
      <c r="F30" s="22" t="s">
        <v>379</v>
      </c>
      <c r="G30" s="22" t="s">
        <v>380</v>
      </c>
      <c r="H30" s="22" t="s">
        <v>381</v>
      </c>
      <c r="I30" s="22" t="s">
        <v>135</v>
      </c>
      <c r="J30" s="19" t="s">
        <v>136</v>
      </c>
      <c r="K30" s="19" t="s">
        <v>136</v>
      </c>
      <c r="L30" s="19" t="s">
        <v>136</v>
      </c>
      <c r="M30" s="22" t="s">
        <v>137</v>
      </c>
      <c r="N30" s="23" t="s">
        <v>137</v>
      </c>
      <c r="O30" s="20" t="s">
        <v>22</v>
      </c>
      <c r="P30" s="19" t="s">
        <v>136</v>
      </c>
      <c r="Q30" s="22" t="s">
        <v>138</v>
      </c>
      <c r="R30" s="22" t="s">
        <v>139</v>
      </c>
      <c r="S30" s="22" t="s">
        <v>382</v>
      </c>
      <c r="T30" s="22" t="s">
        <v>141</v>
      </c>
      <c r="U30" s="25" t="s">
        <v>136</v>
      </c>
      <c r="V30" s="22" t="s">
        <v>142</v>
      </c>
    </row>
    <row r="31" spans="1:22" ht="25.5" x14ac:dyDescent="0.25">
      <c r="A31" s="17" t="s">
        <v>495</v>
      </c>
      <c r="B31" s="18" t="s">
        <v>214</v>
      </c>
      <c r="C31" s="17" t="s">
        <v>512</v>
      </c>
      <c r="D31" s="18">
        <v>2</v>
      </c>
      <c r="E31" s="17" t="s">
        <v>152</v>
      </c>
      <c r="F31" s="17" t="s">
        <v>498</v>
      </c>
      <c r="G31" s="17" t="s">
        <v>499</v>
      </c>
      <c r="H31" s="17" t="s">
        <v>500</v>
      </c>
      <c r="I31" s="17" t="s">
        <v>136</v>
      </c>
      <c r="J31" s="19" t="s">
        <v>136</v>
      </c>
      <c r="K31" s="19" t="s">
        <v>136</v>
      </c>
      <c r="L31" s="19" t="s">
        <v>136</v>
      </c>
      <c r="M31" s="17" t="s">
        <v>137</v>
      </c>
      <c r="N31" s="18" t="s">
        <v>137</v>
      </c>
      <c r="O31" s="20" t="s">
        <v>22</v>
      </c>
      <c r="P31" s="24" t="s">
        <v>148</v>
      </c>
      <c r="Q31" s="17" t="s">
        <v>501</v>
      </c>
      <c r="R31" s="17" t="s">
        <v>139</v>
      </c>
      <c r="S31" s="17" t="s">
        <v>502</v>
      </c>
      <c r="T31" s="17" t="s">
        <v>141</v>
      </c>
      <c r="U31" s="21" t="s">
        <v>136</v>
      </c>
      <c r="V31" s="17" t="s">
        <v>142</v>
      </c>
    </row>
    <row r="32" spans="1:22" ht="25.5" x14ac:dyDescent="0.25">
      <c r="A32" s="22" t="s">
        <v>495</v>
      </c>
      <c r="B32" s="23" t="s">
        <v>214</v>
      </c>
      <c r="C32" s="22" t="s">
        <v>513</v>
      </c>
      <c r="D32" s="23">
        <v>2</v>
      </c>
      <c r="E32" s="22" t="s">
        <v>152</v>
      </c>
      <c r="F32" s="22" t="s">
        <v>498</v>
      </c>
      <c r="G32" s="22" t="s">
        <v>499</v>
      </c>
      <c r="H32" s="22" t="s">
        <v>500</v>
      </c>
      <c r="I32" s="22" t="s">
        <v>136</v>
      </c>
      <c r="J32" s="19" t="s">
        <v>136</v>
      </c>
      <c r="K32" s="19" t="s">
        <v>136</v>
      </c>
      <c r="L32" s="19" t="s">
        <v>136</v>
      </c>
      <c r="M32" s="22" t="s">
        <v>137</v>
      </c>
      <c r="N32" s="23" t="s">
        <v>137</v>
      </c>
      <c r="O32" s="20" t="s">
        <v>22</v>
      </c>
      <c r="P32" s="24" t="s">
        <v>148</v>
      </c>
      <c r="Q32" s="22" t="s">
        <v>501</v>
      </c>
      <c r="R32" s="22" t="s">
        <v>139</v>
      </c>
      <c r="S32" s="22" t="s">
        <v>502</v>
      </c>
      <c r="T32" s="22" t="s">
        <v>141</v>
      </c>
      <c r="U32" s="25" t="s">
        <v>136</v>
      </c>
      <c r="V32" s="22" t="s">
        <v>142</v>
      </c>
    </row>
    <row r="33" spans="1:22" ht="25.5" x14ac:dyDescent="0.25">
      <c r="A33" s="17" t="s">
        <v>495</v>
      </c>
      <c r="B33" s="18" t="s">
        <v>214</v>
      </c>
      <c r="C33" s="17" t="s">
        <v>243</v>
      </c>
      <c r="D33" s="18">
        <v>1</v>
      </c>
      <c r="E33" s="17" t="s">
        <v>162</v>
      </c>
      <c r="F33" s="17" t="s">
        <v>163</v>
      </c>
      <c r="G33" s="17" t="s">
        <v>164</v>
      </c>
      <c r="H33" s="17" t="s">
        <v>165</v>
      </c>
      <c r="I33" s="17" t="s">
        <v>136</v>
      </c>
      <c r="J33" s="19" t="s">
        <v>136</v>
      </c>
      <c r="K33" s="19" t="s">
        <v>136</v>
      </c>
      <c r="L33" s="19" t="s">
        <v>136</v>
      </c>
      <c r="M33" s="17" t="s">
        <v>137</v>
      </c>
      <c r="N33" s="18" t="s">
        <v>137</v>
      </c>
      <c r="O33" s="20" t="s">
        <v>22</v>
      </c>
      <c r="P33" s="19" t="s">
        <v>136</v>
      </c>
      <c r="Q33" s="17" t="s">
        <v>138</v>
      </c>
      <c r="R33" s="17" t="s">
        <v>139</v>
      </c>
      <c r="S33" s="17" t="s">
        <v>166</v>
      </c>
      <c r="T33" s="17" t="s">
        <v>141</v>
      </c>
      <c r="U33" s="21" t="s">
        <v>136</v>
      </c>
      <c r="V33" s="17" t="s">
        <v>142</v>
      </c>
    </row>
    <row r="34" spans="1:22" ht="25.5" x14ac:dyDescent="0.25">
      <c r="A34" s="22" t="s">
        <v>495</v>
      </c>
      <c r="B34" s="23" t="s">
        <v>214</v>
      </c>
      <c r="C34" s="22" t="s">
        <v>283</v>
      </c>
      <c r="D34" s="23">
        <v>2</v>
      </c>
      <c r="E34" s="22" t="s">
        <v>162</v>
      </c>
      <c r="F34" s="22" t="s">
        <v>163</v>
      </c>
      <c r="G34" s="22" t="s">
        <v>164</v>
      </c>
      <c r="H34" s="22" t="s">
        <v>165</v>
      </c>
      <c r="I34" s="22" t="s">
        <v>136</v>
      </c>
      <c r="J34" s="19" t="s">
        <v>136</v>
      </c>
      <c r="K34" s="19" t="s">
        <v>136</v>
      </c>
      <c r="L34" s="19" t="s">
        <v>136</v>
      </c>
      <c r="M34" s="22" t="s">
        <v>137</v>
      </c>
      <c r="N34" s="23" t="s">
        <v>137</v>
      </c>
      <c r="O34" s="20" t="s">
        <v>22</v>
      </c>
      <c r="P34" s="19" t="s">
        <v>136</v>
      </c>
      <c r="Q34" s="22" t="s">
        <v>138</v>
      </c>
      <c r="R34" s="22" t="s">
        <v>139</v>
      </c>
      <c r="S34" s="22" t="s">
        <v>166</v>
      </c>
      <c r="T34" s="22" t="s">
        <v>141</v>
      </c>
      <c r="U34" s="25" t="s">
        <v>136</v>
      </c>
      <c r="V34" s="22" t="s">
        <v>142</v>
      </c>
    </row>
    <row r="35" spans="1:22" ht="25.5" x14ac:dyDescent="0.25">
      <c r="A35" s="17" t="s">
        <v>495</v>
      </c>
      <c r="B35" s="18" t="s">
        <v>214</v>
      </c>
      <c r="C35" s="17" t="s">
        <v>196</v>
      </c>
      <c r="D35" s="18">
        <v>1</v>
      </c>
      <c r="E35" s="17" t="s">
        <v>162</v>
      </c>
      <c r="F35" s="17" t="s">
        <v>169</v>
      </c>
      <c r="G35" s="17" t="s">
        <v>170</v>
      </c>
      <c r="H35" s="17" t="s">
        <v>171</v>
      </c>
      <c r="I35" s="17" t="s">
        <v>135</v>
      </c>
      <c r="J35" s="19" t="s">
        <v>136</v>
      </c>
      <c r="K35" s="19" t="s">
        <v>136</v>
      </c>
      <c r="L35" s="19" t="s">
        <v>136</v>
      </c>
      <c r="M35" s="17" t="s">
        <v>137</v>
      </c>
      <c r="N35" s="18" t="s">
        <v>137</v>
      </c>
      <c r="O35" s="20" t="s">
        <v>22</v>
      </c>
      <c r="P35" s="19" t="s">
        <v>136</v>
      </c>
      <c r="Q35" s="17" t="s">
        <v>138</v>
      </c>
      <c r="R35" s="17" t="s">
        <v>139</v>
      </c>
      <c r="S35" s="17" t="s">
        <v>172</v>
      </c>
      <c r="T35" s="17" t="s">
        <v>141</v>
      </c>
      <c r="U35" s="21" t="s">
        <v>136</v>
      </c>
      <c r="V35" s="17" t="s">
        <v>142</v>
      </c>
    </row>
    <row r="36" spans="1:22" ht="25.5" x14ac:dyDescent="0.25">
      <c r="A36" s="22" t="s">
        <v>495</v>
      </c>
      <c r="B36" s="23" t="s">
        <v>214</v>
      </c>
      <c r="C36" s="22" t="s">
        <v>244</v>
      </c>
      <c r="D36" s="23">
        <v>2</v>
      </c>
      <c r="E36" s="22" t="s">
        <v>162</v>
      </c>
      <c r="F36" s="22" t="s">
        <v>176</v>
      </c>
      <c r="G36" s="22" t="s">
        <v>177</v>
      </c>
      <c r="H36" s="22" t="s">
        <v>178</v>
      </c>
      <c r="I36" s="22" t="s">
        <v>135</v>
      </c>
      <c r="J36" s="19" t="s">
        <v>136</v>
      </c>
      <c r="K36" s="19" t="s">
        <v>136</v>
      </c>
      <c r="L36" s="19" t="s">
        <v>136</v>
      </c>
      <c r="M36" s="22" t="s">
        <v>137</v>
      </c>
      <c r="N36" s="23" t="s">
        <v>137</v>
      </c>
      <c r="O36" s="20" t="s">
        <v>22</v>
      </c>
      <c r="P36" s="19" t="s">
        <v>136</v>
      </c>
      <c r="Q36" s="22" t="s">
        <v>138</v>
      </c>
      <c r="R36" s="22" t="s">
        <v>139</v>
      </c>
      <c r="S36" s="22" t="s">
        <v>179</v>
      </c>
      <c r="T36" s="22" t="s">
        <v>141</v>
      </c>
      <c r="U36" s="25" t="s">
        <v>136</v>
      </c>
      <c r="V36" s="22" t="s">
        <v>142</v>
      </c>
    </row>
    <row r="37" spans="1:22" ht="25.5" x14ac:dyDescent="0.25">
      <c r="A37" s="17" t="s">
        <v>495</v>
      </c>
      <c r="B37" s="18" t="s">
        <v>245</v>
      </c>
      <c r="C37" s="17" t="s">
        <v>514</v>
      </c>
      <c r="D37" s="18">
        <v>4</v>
      </c>
      <c r="E37" s="17" t="s">
        <v>152</v>
      </c>
      <c r="F37" s="17" t="s">
        <v>379</v>
      </c>
      <c r="G37" s="17" t="s">
        <v>380</v>
      </c>
      <c r="H37" s="17" t="s">
        <v>381</v>
      </c>
      <c r="I37" s="17" t="s">
        <v>135</v>
      </c>
      <c r="J37" s="19" t="s">
        <v>136</v>
      </c>
      <c r="K37" s="19" t="s">
        <v>136</v>
      </c>
      <c r="L37" s="19" t="s">
        <v>136</v>
      </c>
      <c r="M37" s="17" t="s">
        <v>137</v>
      </c>
      <c r="N37" s="18" t="s">
        <v>137</v>
      </c>
      <c r="O37" s="20" t="s">
        <v>22</v>
      </c>
      <c r="P37" s="19" t="s">
        <v>136</v>
      </c>
      <c r="Q37" s="17" t="s">
        <v>138</v>
      </c>
      <c r="R37" s="17" t="s">
        <v>139</v>
      </c>
      <c r="S37" s="17" t="s">
        <v>382</v>
      </c>
      <c r="T37" s="17" t="s">
        <v>141</v>
      </c>
      <c r="U37" s="21" t="s">
        <v>136</v>
      </c>
      <c r="V37" s="17" t="s">
        <v>142</v>
      </c>
    </row>
    <row r="38" spans="1:22" ht="25.5" x14ac:dyDescent="0.25">
      <c r="A38" s="22" t="s">
        <v>495</v>
      </c>
      <c r="B38" s="23" t="s">
        <v>245</v>
      </c>
      <c r="C38" s="22" t="s">
        <v>515</v>
      </c>
      <c r="D38" s="23">
        <v>2</v>
      </c>
      <c r="E38" s="22" t="s">
        <v>152</v>
      </c>
      <c r="F38" s="22" t="s">
        <v>498</v>
      </c>
      <c r="G38" s="22" t="s">
        <v>499</v>
      </c>
      <c r="H38" s="22" t="s">
        <v>500</v>
      </c>
      <c r="I38" s="22" t="s">
        <v>136</v>
      </c>
      <c r="J38" s="19" t="s">
        <v>136</v>
      </c>
      <c r="K38" s="19" t="s">
        <v>136</v>
      </c>
      <c r="L38" s="19" t="s">
        <v>136</v>
      </c>
      <c r="M38" s="22" t="s">
        <v>137</v>
      </c>
      <c r="N38" s="23" t="s">
        <v>137</v>
      </c>
      <c r="O38" s="20" t="s">
        <v>22</v>
      </c>
      <c r="P38" s="24" t="s">
        <v>148</v>
      </c>
      <c r="Q38" s="22" t="s">
        <v>501</v>
      </c>
      <c r="R38" s="22" t="s">
        <v>139</v>
      </c>
      <c r="S38" s="22" t="s">
        <v>502</v>
      </c>
      <c r="T38" s="22" t="s">
        <v>141</v>
      </c>
      <c r="U38" s="25" t="s">
        <v>136</v>
      </c>
      <c r="V38" s="22" t="s">
        <v>142</v>
      </c>
    </row>
    <row r="39" spans="1:22" ht="25.5" x14ac:dyDescent="0.25">
      <c r="A39" s="17" t="s">
        <v>495</v>
      </c>
      <c r="B39" s="18" t="s">
        <v>245</v>
      </c>
      <c r="C39" s="17" t="s">
        <v>516</v>
      </c>
      <c r="D39" s="18">
        <v>3</v>
      </c>
      <c r="E39" s="17" t="s">
        <v>190</v>
      </c>
      <c r="F39" s="17" t="s">
        <v>191</v>
      </c>
      <c r="G39" s="17" t="s">
        <v>192</v>
      </c>
      <c r="H39" s="17" t="s">
        <v>193</v>
      </c>
      <c r="I39" s="17" t="s">
        <v>135</v>
      </c>
      <c r="J39" s="19" t="s">
        <v>136</v>
      </c>
      <c r="K39" s="19" t="s">
        <v>136</v>
      </c>
      <c r="L39" s="19" t="s">
        <v>136</v>
      </c>
      <c r="M39" s="17" t="s">
        <v>137</v>
      </c>
      <c r="N39" s="18" t="s">
        <v>137</v>
      </c>
      <c r="O39" s="20" t="s">
        <v>22</v>
      </c>
      <c r="P39" s="19" t="s">
        <v>136</v>
      </c>
      <c r="Q39" s="17" t="s">
        <v>138</v>
      </c>
      <c r="R39" s="17" t="s">
        <v>139</v>
      </c>
      <c r="S39" s="17" t="s">
        <v>194</v>
      </c>
      <c r="T39" s="17" t="s">
        <v>141</v>
      </c>
      <c r="U39" s="21" t="s">
        <v>136</v>
      </c>
      <c r="V39" s="17" t="s">
        <v>142</v>
      </c>
    </row>
    <row r="40" spans="1:22" ht="25.5" x14ac:dyDescent="0.25">
      <c r="A40" s="22" t="s">
        <v>495</v>
      </c>
      <c r="B40" s="23" t="s">
        <v>245</v>
      </c>
      <c r="C40" s="22" t="s">
        <v>517</v>
      </c>
      <c r="D40" s="23">
        <v>3</v>
      </c>
      <c r="E40" s="22" t="s">
        <v>152</v>
      </c>
      <c r="F40" s="22" t="s">
        <v>498</v>
      </c>
      <c r="G40" s="22" t="s">
        <v>499</v>
      </c>
      <c r="H40" s="22" t="s">
        <v>500</v>
      </c>
      <c r="I40" s="22" t="s">
        <v>136</v>
      </c>
      <c r="J40" s="19" t="s">
        <v>136</v>
      </c>
      <c r="K40" s="19" t="s">
        <v>136</v>
      </c>
      <c r="L40" s="19" t="s">
        <v>136</v>
      </c>
      <c r="M40" s="22" t="s">
        <v>137</v>
      </c>
      <c r="N40" s="23" t="s">
        <v>137</v>
      </c>
      <c r="O40" s="20" t="s">
        <v>22</v>
      </c>
      <c r="P40" s="24" t="s">
        <v>148</v>
      </c>
      <c r="Q40" s="22" t="s">
        <v>501</v>
      </c>
      <c r="R40" s="22" t="s">
        <v>139</v>
      </c>
      <c r="S40" s="22" t="s">
        <v>502</v>
      </c>
      <c r="T40" s="22" t="s">
        <v>141</v>
      </c>
      <c r="U40" s="25" t="s">
        <v>136</v>
      </c>
      <c r="V40" s="22" t="s">
        <v>142</v>
      </c>
    </row>
    <row r="41" spans="1:22" ht="38.25" x14ac:dyDescent="0.25">
      <c r="A41" s="17" t="s">
        <v>495</v>
      </c>
      <c r="B41" s="18" t="s">
        <v>245</v>
      </c>
      <c r="C41" s="17" t="s">
        <v>518</v>
      </c>
      <c r="D41" s="18">
        <v>2</v>
      </c>
      <c r="E41" s="17" t="s">
        <v>152</v>
      </c>
      <c r="F41" s="17" t="s">
        <v>216</v>
      </c>
      <c r="G41" s="17" t="s">
        <v>217</v>
      </c>
      <c r="H41" s="17" t="s">
        <v>217</v>
      </c>
      <c r="I41" s="17" t="s">
        <v>218</v>
      </c>
      <c r="J41" s="29" t="s">
        <v>219</v>
      </c>
      <c r="K41" s="29" t="s">
        <v>219</v>
      </c>
      <c r="L41" s="29" t="s">
        <v>219</v>
      </c>
      <c r="M41" s="17" t="s">
        <v>220</v>
      </c>
      <c r="N41" s="18" t="s">
        <v>137</v>
      </c>
      <c r="O41" s="29" t="s">
        <v>23</v>
      </c>
      <c r="P41" s="29" t="s">
        <v>219</v>
      </c>
      <c r="Q41" s="17" t="s">
        <v>221</v>
      </c>
      <c r="R41" s="17" t="s">
        <v>222</v>
      </c>
      <c r="S41" s="17" t="s">
        <v>223</v>
      </c>
      <c r="T41" s="17" t="s">
        <v>224</v>
      </c>
      <c r="U41" s="26" t="s">
        <v>148</v>
      </c>
      <c r="V41" s="17" t="s">
        <v>217</v>
      </c>
    </row>
    <row r="42" spans="1:22" ht="25.5" x14ac:dyDescent="0.25">
      <c r="A42" s="22" t="s">
        <v>495</v>
      </c>
      <c r="B42" s="23" t="s">
        <v>245</v>
      </c>
      <c r="C42" s="22" t="s">
        <v>519</v>
      </c>
      <c r="D42" s="23">
        <v>2</v>
      </c>
      <c r="E42" s="22" t="s">
        <v>162</v>
      </c>
      <c r="F42" s="22" t="s">
        <v>163</v>
      </c>
      <c r="G42" s="22" t="s">
        <v>164</v>
      </c>
      <c r="H42" s="22" t="s">
        <v>165</v>
      </c>
      <c r="I42" s="22" t="s">
        <v>136</v>
      </c>
      <c r="J42" s="19" t="s">
        <v>136</v>
      </c>
      <c r="K42" s="19" t="s">
        <v>136</v>
      </c>
      <c r="L42" s="19" t="s">
        <v>136</v>
      </c>
      <c r="M42" s="22" t="s">
        <v>137</v>
      </c>
      <c r="N42" s="23" t="s">
        <v>137</v>
      </c>
      <c r="O42" s="20" t="s">
        <v>22</v>
      </c>
      <c r="P42" s="19" t="s">
        <v>136</v>
      </c>
      <c r="Q42" s="22" t="s">
        <v>138</v>
      </c>
      <c r="R42" s="22" t="s">
        <v>139</v>
      </c>
      <c r="S42" s="22" t="s">
        <v>166</v>
      </c>
      <c r="T42" s="22" t="s">
        <v>141</v>
      </c>
      <c r="U42" s="25" t="s">
        <v>136</v>
      </c>
      <c r="V42" s="22" t="s">
        <v>142</v>
      </c>
    </row>
    <row r="43" spans="1:22" ht="25.5" x14ac:dyDescent="0.25">
      <c r="A43" s="17" t="s">
        <v>495</v>
      </c>
      <c r="B43" s="18" t="s">
        <v>245</v>
      </c>
      <c r="C43" s="17" t="s">
        <v>212</v>
      </c>
      <c r="D43" s="18">
        <v>1</v>
      </c>
      <c r="E43" s="17" t="s">
        <v>162</v>
      </c>
      <c r="F43" s="17" t="s">
        <v>169</v>
      </c>
      <c r="G43" s="17" t="s">
        <v>170</v>
      </c>
      <c r="H43" s="17" t="s">
        <v>171</v>
      </c>
      <c r="I43" s="17" t="s">
        <v>135</v>
      </c>
      <c r="J43" s="19" t="s">
        <v>136</v>
      </c>
      <c r="K43" s="19" t="s">
        <v>136</v>
      </c>
      <c r="L43" s="19" t="s">
        <v>136</v>
      </c>
      <c r="M43" s="17" t="s">
        <v>137</v>
      </c>
      <c r="N43" s="18" t="s">
        <v>137</v>
      </c>
      <c r="O43" s="20" t="s">
        <v>22</v>
      </c>
      <c r="P43" s="19" t="s">
        <v>136</v>
      </c>
      <c r="Q43" s="17" t="s">
        <v>138</v>
      </c>
      <c r="R43" s="17" t="s">
        <v>139</v>
      </c>
      <c r="S43" s="17" t="s">
        <v>172</v>
      </c>
      <c r="T43" s="17" t="s">
        <v>141</v>
      </c>
      <c r="U43" s="21" t="s">
        <v>136</v>
      </c>
      <c r="V43" s="17" t="s">
        <v>142</v>
      </c>
    </row>
    <row r="44" spans="1:22" ht="25.5" x14ac:dyDescent="0.25">
      <c r="A44" s="22" t="s">
        <v>495</v>
      </c>
      <c r="B44" s="23" t="s">
        <v>245</v>
      </c>
      <c r="C44" s="22" t="s">
        <v>284</v>
      </c>
      <c r="D44" s="23">
        <v>2</v>
      </c>
      <c r="E44" s="22" t="s">
        <v>162</v>
      </c>
      <c r="F44" s="22" t="s">
        <v>176</v>
      </c>
      <c r="G44" s="22" t="s">
        <v>177</v>
      </c>
      <c r="H44" s="22" t="s">
        <v>178</v>
      </c>
      <c r="I44" s="22" t="s">
        <v>135</v>
      </c>
      <c r="J44" s="19" t="s">
        <v>136</v>
      </c>
      <c r="K44" s="19" t="s">
        <v>136</v>
      </c>
      <c r="L44" s="19" t="s">
        <v>136</v>
      </c>
      <c r="M44" s="22" t="s">
        <v>137</v>
      </c>
      <c r="N44" s="23" t="s">
        <v>137</v>
      </c>
      <c r="O44" s="20" t="s">
        <v>22</v>
      </c>
      <c r="P44" s="19" t="s">
        <v>136</v>
      </c>
      <c r="Q44" s="22" t="s">
        <v>138</v>
      </c>
      <c r="R44" s="22" t="s">
        <v>139</v>
      </c>
      <c r="S44" s="22" t="s">
        <v>179</v>
      </c>
      <c r="T44" s="22" t="s">
        <v>141</v>
      </c>
      <c r="U44" s="25" t="s">
        <v>136</v>
      </c>
      <c r="V44" s="22" t="s">
        <v>142</v>
      </c>
    </row>
    <row r="45" spans="1:22" ht="25.5" x14ac:dyDescent="0.25">
      <c r="A45" s="17" t="s">
        <v>495</v>
      </c>
      <c r="B45" s="18" t="s">
        <v>285</v>
      </c>
      <c r="C45" s="17" t="s">
        <v>520</v>
      </c>
      <c r="D45" s="18">
        <v>2</v>
      </c>
      <c r="E45" s="17" t="s">
        <v>152</v>
      </c>
      <c r="F45" s="17" t="s">
        <v>379</v>
      </c>
      <c r="G45" s="17" t="s">
        <v>380</v>
      </c>
      <c r="H45" s="17" t="s">
        <v>381</v>
      </c>
      <c r="I45" s="17" t="s">
        <v>135</v>
      </c>
      <c r="J45" s="19" t="s">
        <v>136</v>
      </c>
      <c r="K45" s="19" t="s">
        <v>136</v>
      </c>
      <c r="L45" s="19" t="s">
        <v>136</v>
      </c>
      <c r="M45" s="17" t="s">
        <v>137</v>
      </c>
      <c r="N45" s="18" t="s">
        <v>137</v>
      </c>
      <c r="O45" s="20" t="s">
        <v>22</v>
      </c>
      <c r="P45" s="19" t="s">
        <v>136</v>
      </c>
      <c r="Q45" s="17" t="s">
        <v>138</v>
      </c>
      <c r="R45" s="17" t="s">
        <v>139</v>
      </c>
      <c r="S45" s="17" t="s">
        <v>382</v>
      </c>
      <c r="T45" s="17" t="s">
        <v>141</v>
      </c>
      <c r="U45" s="21" t="s">
        <v>136</v>
      </c>
      <c r="V45" s="17" t="s">
        <v>142</v>
      </c>
    </row>
    <row r="46" spans="1:22" ht="25.5" x14ac:dyDescent="0.25">
      <c r="A46" s="22" t="s">
        <v>495</v>
      </c>
      <c r="B46" s="23" t="s">
        <v>285</v>
      </c>
      <c r="C46" s="22" t="s">
        <v>521</v>
      </c>
      <c r="D46" s="23">
        <v>3</v>
      </c>
      <c r="E46" s="22" t="s">
        <v>152</v>
      </c>
      <c r="F46" s="22" t="s">
        <v>498</v>
      </c>
      <c r="G46" s="22" t="s">
        <v>499</v>
      </c>
      <c r="H46" s="22" t="s">
        <v>500</v>
      </c>
      <c r="I46" s="22" t="s">
        <v>136</v>
      </c>
      <c r="J46" s="19" t="s">
        <v>136</v>
      </c>
      <c r="K46" s="19" t="s">
        <v>136</v>
      </c>
      <c r="L46" s="19" t="s">
        <v>136</v>
      </c>
      <c r="M46" s="22" t="s">
        <v>137</v>
      </c>
      <c r="N46" s="23" t="s">
        <v>137</v>
      </c>
      <c r="O46" s="20" t="s">
        <v>22</v>
      </c>
      <c r="P46" s="24" t="s">
        <v>148</v>
      </c>
      <c r="Q46" s="22" t="s">
        <v>501</v>
      </c>
      <c r="R46" s="22" t="s">
        <v>139</v>
      </c>
      <c r="S46" s="22" t="s">
        <v>502</v>
      </c>
      <c r="T46" s="22" t="s">
        <v>141</v>
      </c>
      <c r="U46" s="25" t="s">
        <v>136</v>
      </c>
      <c r="V46" s="22" t="s">
        <v>142</v>
      </c>
    </row>
    <row r="47" spans="1:22" ht="25.5" x14ac:dyDescent="0.25">
      <c r="A47" s="17" t="s">
        <v>495</v>
      </c>
      <c r="B47" s="18" t="s">
        <v>285</v>
      </c>
      <c r="C47" s="17" t="s">
        <v>522</v>
      </c>
      <c r="D47" s="18">
        <v>3</v>
      </c>
      <c r="E47" s="17" t="s">
        <v>152</v>
      </c>
      <c r="F47" s="17" t="s">
        <v>191</v>
      </c>
      <c r="G47" s="17" t="s">
        <v>192</v>
      </c>
      <c r="H47" s="17" t="s">
        <v>193</v>
      </c>
      <c r="I47" s="17" t="s">
        <v>135</v>
      </c>
      <c r="J47" s="19" t="s">
        <v>136</v>
      </c>
      <c r="K47" s="19" t="s">
        <v>136</v>
      </c>
      <c r="L47" s="19" t="s">
        <v>136</v>
      </c>
      <c r="M47" s="17" t="s">
        <v>137</v>
      </c>
      <c r="N47" s="18" t="s">
        <v>137</v>
      </c>
      <c r="O47" s="20" t="s">
        <v>22</v>
      </c>
      <c r="P47" s="19" t="s">
        <v>136</v>
      </c>
      <c r="Q47" s="17" t="s">
        <v>138</v>
      </c>
      <c r="R47" s="17" t="s">
        <v>139</v>
      </c>
      <c r="S47" s="17" t="s">
        <v>194</v>
      </c>
      <c r="T47" s="17" t="s">
        <v>141</v>
      </c>
      <c r="U47" s="21" t="s">
        <v>136</v>
      </c>
      <c r="V47" s="17" t="s">
        <v>142</v>
      </c>
    </row>
    <row r="48" spans="1:22" ht="25.5" x14ac:dyDescent="0.25">
      <c r="A48" s="22" t="s">
        <v>495</v>
      </c>
      <c r="B48" s="23" t="s">
        <v>285</v>
      </c>
      <c r="C48" s="22" t="s">
        <v>523</v>
      </c>
      <c r="D48" s="23">
        <v>2</v>
      </c>
      <c r="E48" s="22" t="s">
        <v>152</v>
      </c>
      <c r="F48" s="22" t="s">
        <v>191</v>
      </c>
      <c r="G48" s="22" t="s">
        <v>192</v>
      </c>
      <c r="H48" s="22" t="s">
        <v>193</v>
      </c>
      <c r="I48" s="22" t="s">
        <v>135</v>
      </c>
      <c r="J48" s="19" t="s">
        <v>136</v>
      </c>
      <c r="K48" s="19" t="s">
        <v>136</v>
      </c>
      <c r="L48" s="19" t="s">
        <v>136</v>
      </c>
      <c r="M48" s="22" t="s">
        <v>137</v>
      </c>
      <c r="N48" s="23" t="s">
        <v>137</v>
      </c>
      <c r="O48" s="20" t="s">
        <v>22</v>
      </c>
      <c r="P48" s="19" t="s">
        <v>136</v>
      </c>
      <c r="Q48" s="22" t="s">
        <v>138</v>
      </c>
      <c r="R48" s="22" t="s">
        <v>139</v>
      </c>
      <c r="S48" s="22" t="s">
        <v>194</v>
      </c>
      <c r="T48" s="22" t="s">
        <v>141</v>
      </c>
      <c r="U48" s="25" t="s">
        <v>136</v>
      </c>
      <c r="V48" s="22" t="s">
        <v>142</v>
      </c>
    </row>
    <row r="49" spans="1:22" ht="38.25" x14ac:dyDescent="0.25">
      <c r="A49" s="17" t="s">
        <v>495</v>
      </c>
      <c r="B49" s="18" t="s">
        <v>285</v>
      </c>
      <c r="C49" s="17" t="s">
        <v>524</v>
      </c>
      <c r="D49" s="18">
        <v>2</v>
      </c>
      <c r="E49" s="17" t="s">
        <v>152</v>
      </c>
      <c r="F49" s="17" t="s">
        <v>216</v>
      </c>
      <c r="G49" s="17" t="s">
        <v>217</v>
      </c>
      <c r="H49" s="17" t="s">
        <v>217</v>
      </c>
      <c r="I49" s="17" t="s">
        <v>218</v>
      </c>
      <c r="J49" s="29" t="s">
        <v>219</v>
      </c>
      <c r="K49" s="29" t="s">
        <v>219</v>
      </c>
      <c r="L49" s="29" t="s">
        <v>219</v>
      </c>
      <c r="M49" s="17" t="s">
        <v>220</v>
      </c>
      <c r="N49" s="18" t="s">
        <v>137</v>
      </c>
      <c r="O49" s="29" t="s">
        <v>23</v>
      </c>
      <c r="P49" s="29" t="s">
        <v>219</v>
      </c>
      <c r="Q49" s="17" t="s">
        <v>221</v>
      </c>
      <c r="R49" s="17" t="s">
        <v>222</v>
      </c>
      <c r="S49" s="17" t="s">
        <v>223</v>
      </c>
      <c r="T49" s="17" t="s">
        <v>224</v>
      </c>
      <c r="U49" s="26" t="s">
        <v>148</v>
      </c>
      <c r="V49" s="17" t="s">
        <v>217</v>
      </c>
    </row>
    <row r="50" spans="1:22" ht="51" x14ac:dyDescent="0.25">
      <c r="A50" s="22" t="s">
        <v>495</v>
      </c>
      <c r="B50" s="23" t="s">
        <v>285</v>
      </c>
      <c r="C50" s="22" t="s">
        <v>525</v>
      </c>
      <c r="D50" s="23">
        <v>3</v>
      </c>
      <c r="E50" s="22" t="s">
        <v>162</v>
      </c>
      <c r="F50" s="22" t="s">
        <v>308</v>
      </c>
      <c r="G50" s="22" t="s">
        <v>309</v>
      </c>
      <c r="H50" s="22" t="s">
        <v>310</v>
      </c>
      <c r="I50" s="22" t="s">
        <v>311</v>
      </c>
      <c r="J50" s="19" t="s">
        <v>136</v>
      </c>
      <c r="K50" s="19" t="s">
        <v>136</v>
      </c>
      <c r="L50" s="27" t="s">
        <v>54</v>
      </c>
      <c r="M50" s="17" t="s">
        <v>137</v>
      </c>
      <c r="N50" s="18" t="s">
        <v>137</v>
      </c>
      <c r="O50" s="20" t="s">
        <v>22</v>
      </c>
      <c r="P50" s="19" t="s">
        <v>136</v>
      </c>
      <c r="Q50" s="22" t="s">
        <v>313</v>
      </c>
      <c r="R50" s="22" t="s">
        <v>28</v>
      </c>
      <c r="S50" s="22" t="s">
        <v>314</v>
      </c>
      <c r="T50" s="22" t="s">
        <v>234</v>
      </c>
      <c r="U50" s="31" t="s">
        <v>54</v>
      </c>
      <c r="V50" s="22" t="s">
        <v>142</v>
      </c>
    </row>
    <row r="51" spans="1:22" ht="25.5" x14ac:dyDescent="0.25">
      <c r="A51" s="17" t="s">
        <v>495</v>
      </c>
      <c r="B51" s="18" t="s">
        <v>285</v>
      </c>
      <c r="C51" s="17" t="s">
        <v>330</v>
      </c>
      <c r="D51" s="18">
        <v>2</v>
      </c>
      <c r="E51" s="17" t="s">
        <v>162</v>
      </c>
      <c r="F51" s="17" t="s">
        <v>176</v>
      </c>
      <c r="G51" s="17" t="s">
        <v>177</v>
      </c>
      <c r="H51" s="17" t="s">
        <v>178</v>
      </c>
      <c r="I51" s="17" t="s">
        <v>135</v>
      </c>
      <c r="J51" s="19" t="s">
        <v>136</v>
      </c>
      <c r="K51" s="19" t="s">
        <v>136</v>
      </c>
      <c r="L51" s="19" t="s">
        <v>136</v>
      </c>
      <c r="M51" s="17" t="s">
        <v>137</v>
      </c>
      <c r="N51" s="18" t="s">
        <v>137</v>
      </c>
      <c r="O51" s="20" t="s">
        <v>22</v>
      </c>
      <c r="P51" s="19" t="s">
        <v>136</v>
      </c>
      <c r="Q51" s="17" t="s">
        <v>138</v>
      </c>
      <c r="R51" s="17" t="s">
        <v>139</v>
      </c>
      <c r="S51" s="17" t="s">
        <v>179</v>
      </c>
      <c r="T51" s="17" t="s">
        <v>141</v>
      </c>
      <c r="U51" s="21" t="s">
        <v>136</v>
      </c>
      <c r="V51" s="17" t="s">
        <v>142</v>
      </c>
    </row>
    <row r="52" spans="1:22" ht="25.5" x14ac:dyDescent="0.25">
      <c r="A52" s="22" t="s">
        <v>495</v>
      </c>
      <c r="B52" s="23" t="s">
        <v>331</v>
      </c>
      <c r="C52" s="22" t="s">
        <v>526</v>
      </c>
      <c r="D52" s="23">
        <v>3</v>
      </c>
      <c r="E52" s="22" t="s">
        <v>152</v>
      </c>
      <c r="F52" s="22" t="s">
        <v>498</v>
      </c>
      <c r="G52" s="22" t="s">
        <v>499</v>
      </c>
      <c r="H52" s="22" t="s">
        <v>500</v>
      </c>
      <c r="I52" s="22" t="s">
        <v>136</v>
      </c>
      <c r="J52" s="19" t="s">
        <v>136</v>
      </c>
      <c r="K52" s="19" t="s">
        <v>136</v>
      </c>
      <c r="L52" s="19" t="s">
        <v>136</v>
      </c>
      <c r="M52" s="22" t="s">
        <v>137</v>
      </c>
      <c r="N52" s="23" t="s">
        <v>137</v>
      </c>
      <c r="O52" s="20" t="s">
        <v>22</v>
      </c>
      <c r="P52" s="24" t="s">
        <v>148</v>
      </c>
      <c r="Q52" s="22" t="s">
        <v>501</v>
      </c>
      <c r="R52" s="22" t="s">
        <v>139</v>
      </c>
      <c r="S52" s="22" t="s">
        <v>502</v>
      </c>
      <c r="T52" s="22" t="s">
        <v>141</v>
      </c>
      <c r="U52" s="25" t="s">
        <v>136</v>
      </c>
      <c r="V52" s="22" t="s">
        <v>142</v>
      </c>
    </row>
    <row r="53" spans="1:22" ht="25.5" x14ac:dyDescent="0.25">
      <c r="A53" s="17" t="s">
        <v>495</v>
      </c>
      <c r="B53" s="18" t="s">
        <v>331</v>
      </c>
      <c r="C53" s="17" t="s">
        <v>527</v>
      </c>
      <c r="D53" s="18">
        <v>3</v>
      </c>
      <c r="E53" s="17" t="s">
        <v>152</v>
      </c>
      <c r="F53" s="17" t="s">
        <v>498</v>
      </c>
      <c r="G53" s="17" t="s">
        <v>499</v>
      </c>
      <c r="H53" s="17" t="s">
        <v>500</v>
      </c>
      <c r="I53" s="17" t="s">
        <v>136</v>
      </c>
      <c r="J53" s="19" t="s">
        <v>136</v>
      </c>
      <c r="K53" s="19" t="s">
        <v>136</v>
      </c>
      <c r="L53" s="19" t="s">
        <v>136</v>
      </c>
      <c r="M53" s="17" t="s">
        <v>137</v>
      </c>
      <c r="N53" s="18" t="s">
        <v>137</v>
      </c>
      <c r="O53" s="20" t="s">
        <v>22</v>
      </c>
      <c r="P53" s="24" t="s">
        <v>148</v>
      </c>
      <c r="Q53" s="17" t="s">
        <v>501</v>
      </c>
      <c r="R53" s="17" t="s">
        <v>139</v>
      </c>
      <c r="S53" s="17" t="s">
        <v>502</v>
      </c>
      <c r="T53" s="17" t="s">
        <v>141</v>
      </c>
      <c r="U53" s="21" t="s">
        <v>136</v>
      </c>
      <c r="V53" s="17" t="s">
        <v>142</v>
      </c>
    </row>
    <row r="54" spans="1:22" ht="25.5" x14ac:dyDescent="0.25">
      <c r="A54" s="22" t="s">
        <v>495</v>
      </c>
      <c r="B54" s="23" t="s">
        <v>331</v>
      </c>
      <c r="C54" s="22" t="s">
        <v>528</v>
      </c>
      <c r="D54" s="23">
        <v>3</v>
      </c>
      <c r="E54" s="22" t="s">
        <v>152</v>
      </c>
      <c r="F54" s="22" t="s">
        <v>191</v>
      </c>
      <c r="G54" s="22" t="s">
        <v>192</v>
      </c>
      <c r="H54" s="22" t="s">
        <v>193</v>
      </c>
      <c r="I54" s="22" t="s">
        <v>135</v>
      </c>
      <c r="J54" s="19" t="s">
        <v>136</v>
      </c>
      <c r="K54" s="19" t="s">
        <v>136</v>
      </c>
      <c r="L54" s="19" t="s">
        <v>136</v>
      </c>
      <c r="M54" s="22" t="s">
        <v>137</v>
      </c>
      <c r="N54" s="23" t="s">
        <v>137</v>
      </c>
      <c r="O54" s="20" t="s">
        <v>22</v>
      </c>
      <c r="P54" s="19" t="s">
        <v>136</v>
      </c>
      <c r="Q54" s="22" t="s">
        <v>138</v>
      </c>
      <c r="R54" s="22" t="s">
        <v>139</v>
      </c>
      <c r="S54" s="22" t="s">
        <v>194</v>
      </c>
      <c r="T54" s="22" t="s">
        <v>141</v>
      </c>
      <c r="U54" s="25" t="s">
        <v>136</v>
      </c>
      <c r="V54" s="22" t="s">
        <v>142</v>
      </c>
    </row>
    <row r="55" spans="1:22" ht="25.5" x14ac:dyDescent="0.25">
      <c r="A55" s="17" t="s">
        <v>495</v>
      </c>
      <c r="B55" s="18" t="s">
        <v>331</v>
      </c>
      <c r="C55" s="17" t="s">
        <v>529</v>
      </c>
      <c r="D55" s="18">
        <v>2</v>
      </c>
      <c r="E55" s="17" t="s">
        <v>152</v>
      </c>
      <c r="F55" s="17" t="s">
        <v>498</v>
      </c>
      <c r="G55" s="17" t="s">
        <v>499</v>
      </c>
      <c r="H55" s="17" t="s">
        <v>500</v>
      </c>
      <c r="I55" s="17" t="s">
        <v>136</v>
      </c>
      <c r="J55" s="19" t="s">
        <v>136</v>
      </c>
      <c r="K55" s="19" t="s">
        <v>136</v>
      </c>
      <c r="L55" s="19" t="s">
        <v>136</v>
      </c>
      <c r="M55" s="17" t="s">
        <v>137</v>
      </c>
      <c r="N55" s="18" t="s">
        <v>137</v>
      </c>
      <c r="O55" s="20" t="s">
        <v>22</v>
      </c>
      <c r="P55" s="24" t="s">
        <v>148</v>
      </c>
      <c r="Q55" s="17" t="s">
        <v>501</v>
      </c>
      <c r="R55" s="17" t="s">
        <v>139</v>
      </c>
      <c r="S55" s="17" t="s">
        <v>502</v>
      </c>
      <c r="T55" s="17" t="s">
        <v>141</v>
      </c>
      <c r="U55" s="21" t="s">
        <v>136</v>
      </c>
      <c r="V55" s="17" t="s">
        <v>142</v>
      </c>
    </row>
    <row r="56" spans="1:22" ht="51" x14ac:dyDescent="0.25">
      <c r="A56" s="22" t="s">
        <v>495</v>
      </c>
      <c r="B56" s="23" t="s">
        <v>331</v>
      </c>
      <c r="C56" s="22" t="s">
        <v>84</v>
      </c>
      <c r="D56" s="23">
        <v>4</v>
      </c>
      <c r="E56" s="22" t="s">
        <v>152</v>
      </c>
      <c r="F56" s="22" t="s">
        <v>308</v>
      </c>
      <c r="G56" s="22" t="s">
        <v>309</v>
      </c>
      <c r="H56" s="22" t="s">
        <v>310</v>
      </c>
      <c r="I56" s="22" t="s">
        <v>311</v>
      </c>
      <c r="J56" s="19" t="s">
        <v>136</v>
      </c>
      <c r="K56" s="19" t="s">
        <v>136</v>
      </c>
      <c r="L56" s="19" t="s">
        <v>136</v>
      </c>
      <c r="M56" s="17" t="s">
        <v>137</v>
      </c>
      <c r="N56" s="18" t="s">
        <v>137</v>
      </c>
      <c r="O56" s="20" t="s">
        <v>22</v>
      </c>
      <c r="P56" s="19" t="s">
        <v>136</v>
      </c>
      <c r="Q56" s="22" t="s">
        <v>313</v>
      </c>
      <c r="R56" s="22" t="s">
        <v>28</v>
      </c>
      <c r="S56" s="22" t="s">
        <v>314</v>
      </c>
      <c r="T56" s="22" t="s">
        <v>234</v>
      </c>
      <c r="U56" s="31" t="s">
        <v>54</v>
      </c>
      <c r="V56" s="22" t="s">
        <v>142</v>
      </c>
    </row>
    <row r="57" spans="1:22" ht="25.5" x14ac:dyDescent="0.25">
      <c r="A57" s="17" t="s">
        <v>495</v>
      </c>
      <c r="B57" s="18" t="s">
        <v>331</v>
      </c>
      <c r="C57" s="17" t="s">
        <v>363</v>
      </c>
      <c r="D57" s="18">
        <v>2</v>
      </c>
      <c r="E57" s="17" t="s">
        <v>162</v>
      </c>
      <c r="F57" s="17" t="s">
        <v>176</v>
      </c>
      <c r="G57" s="17" t="s">
        <v>177</v>
      </c>
      <c r="H57" s="17" t="s">
        <v>178</v>
      </c>
      <c r="I57" s="17" t="s">
        <v>135</v>
      </c>
      <c r="J57" s="19" t="s">
        <v>136</v>
      </c>
      <c r="K57" s="19" t="s">
        <v>136</v>
      </c>
      <c r="L57" s="19" t="s">
        <v>136</v>
      </c>
      <c r="M57" s="17" t="s">
        <v>137</v>
      </c>
      <c r="N57" s="18" t="s">
        <v>137</v>
      </c>
      <c r="O57" s="20" t="s">
        <v>22</v>
      </c>
      <c r="P57" s="19" t="s">
        <v>136</v>
      </c>
      <c r="Q57" s="17" t="s">
        <v>138</v>
      </c>
      <c r="R57" s="17" t="s">
        <v>139</v>
      </c>
      <c r="S57" s="17" t="s">
        <v>179</v>
      </c>
      <c r="T57" s="17" t="s">
        <v>141</v>
      </c>
      <c r="U57" s="21" t="s">
        <v>136</v>
      </c>
      <c r="V57" s="17" t="s">
        <v>142</v>
      </c>
    </row>
    <row r="58" spans="1:22" ht="25.5" x14ac:dyDescent="0.25">
      <c r="A58" s="22" t="s">
        <v>495</v>
      </c>
      <c r="B58" s="23" t="s">
        <v>364</v>
      </c>
      <c r="C58" s="22" t="s">
        <v>530</v>
      </c>
      <c r="D58" s="23">
        <v>3</v>
      </c>
      <c r="E58" s="22" t="s">
        <v>152</v>
      </c>
      <c r="F58" s="22" t="s">
        <v>504</v>
      </c>
      <c r="G58" s="22" t="s">
        <v>505</v>
      </c>
      <c r="H58" s="22" t="s">
        <v>506</v>
      </c>
      <c r="I58" s="22" t="s">
        <v>507</v>
      </c>
      <c r="J58" s="19" t="s">
        <v>136</v>
      </c>
      <c r="K58" s="19" t="s">
        <v>136</v>
      </c>
      <c r="L58" s="19" t="s">
        <v>136</v>
      </c>
      <c r="M58" s="17" t="s">
        <v>137</v>
      </c>
      <c r="N58" s="18" t="s">
        <v>137</v>
      </c>
      <c r="O58" s="20" t="s">
        <v>22</v>
      </c>
      <c r="P58" s="24" t="s">
        <v>148</v>
      </c>
      <c r="Q58" s="22" t="s">
        <v>157</v>
      </c>
      <c r="R58" s="22" t="s">
        <v>404</v>
      </c>
      <c r="S58" s="22" t="s">
        <v>508</v>
      </c>
      <c r="T58" s="22" t="s">
        <v>241</v>
      </c>
      <c r="U58" s="28" t="s">
        <v>148</v>
      </c>
      <c r="V58" s="22" t="s">
        <v>142</v>
      </c>
    </row>
    <row r="59" spans="1:22" ht="38.25" x14ac:dyDescent="0.25">
      <c r="A59" s="17" t="s">
        <v>495</v>
      </c>
      <c r="B59" s="18" t="s">
        <v>364</v>
      </c>
      <c r="C59" s="17" t="s">
        <v>531</v>
      </c>
      <c r="D59" s="18">
        <v>2</v>
      </c>
      <c r="E59" s="17" t="s">
        <v>152</v>
      </c>
      <c r="F59" s="17" t="s">
        <v>216</v>
      </c>
      <c r="G59" s="17" t="s">
        <v>217</v>
      </c>
      <c r="H59" s="17" t="s">
        <v>217</v>
      </c>
      <c r="I59" s="17" t="s">
        <v>218</v>
      </c>
      <c r="J59" s="29" t="s">
        <v>219</v>
      </c>
      <c r="K59" s="29" t="s">
        <v>219</v>
      </c>
      <c r="L59" s="29" t="s">
        <v>219</v>
      </c>
      <c r="M59" s="17" t="s">
        <v>220</v>
      </c>
      <c r="N59" s="18" t="s">
        <v>137</v>
      </c>
      <c r="O59" s="29" t="s">
        <v>23</v>
      </c>
      <c r="P59" s="29" t="s">
        <v>219</v>
      </c>
      <c r="Q59" s="17" t="s">
        <v>221</v>
      </c>
      <c r="R59" s="17" t="s">
        <v>222</v>
      </c>
      <c r="S59" s="17" t="s">
        <v>223</v>
      </c>
      <c r="T59" s="17" t="s">
        <v>224</v>
      </c>
      <c r="U59" s="26" t="s">
        <v>148</v>
      </c>
      <c r="V59" s="17" t="s">
        <v>217</v>
      </c>
    </row>
    <row r="60" spans="1:22" ht="25.5" x14ac:dyDescent="0.25">
      <c r="A60" s="22" t="s">
        <v>495</v>
      </c>
      <c r="B60" s="23" t="s">
        <v>364</v>
      </c>
      <c r="C60" s="22" t="s">
        <v>532</v>
      </c>
      <c r="D60" s="23">
        <v>2</v>
      </c>
      <c r="E60" s="22" t="s">
        <v>152</v>
      </c>
      <c r="F60" s="22" t="s">
        <v>533</v>
      </c>
      <c r="G60" s="22" t="s">
        <v>534</v>
      </c>
      <c r="H60" s="22" t="s">
        <v>535</v>
      </c>
      <c r="I60" s="22" t="s">
        <v>536</v>
      </c>
      <c r="J60" s="19" t="s">
        <v>136</v>
      </c>
      <c r="K60" s="19" t="s">
        <v>136</v>
      </c>
      <c r="L60" s="19" t="s">
        <v>136</v>
      </c>
      <c r="M60" s="22" t="s">
        <v>137</v>
      </c>
      <c r="N60" s="23" t="s">
        <v>137</v>
      </c>
      <c r="O60" s="20" t="s">
        <v>22</v>
      </c>
      <c r="P60" s="24" t="s">
        <v>148</v>
      </c>
      <c r="Q60" s="22" t="s">
        <v>537</v>
      </c>
      <c r="R60" s="22" t="s">
        <v>139</v>
      </c>
      <c r="S60" s="22" t="s">
        <v>538</v>
      </c>
      <c r="T60" s="22" t="s">
        <v>141</v>
      </c>
      <c r="U60" s="25" t="s">
        <v>136</v>
      </c>
      <c r="V60" s="22" t="s">
        <v>142</v>
      </c>
    </row>
    <row r="61" spans="1:22" ht="38.25" x14ac:dyDescent="0.25">
      <c r="A61" s="17" t="s">
        <v>495</v>
      </c>
      <c r="B61" s="18" t="s">
        <v>364</v>
      </c>
      <c r="C61" s="17" t="s">
        <v>349</v>
      </c>
      <c r="D61" s="18">
        <v>6</v>
      </c>
      <c r="E61" s="17" t="s">
        <v>152</v>
      </c>
      <c r="F61" s="17" t="s">
        <v>350</v>
      </c>
      <c r="G61" s="17" t="s">
        <v>351</v>
      </c>
      <c r="H61" s="17" t="s">
        <v>352</v>
      </c>
      <c r="I61" s="17" t="s">
        <v>353</v>
      </c>
      <c r="J61" s="19" t="s">
        <v>136</v>
      </c>
      <c r="K61" s="19" t="s">
        <v>136</v>
      </c>
      <c r="L61" s="19" t="s">
        <v>136</v>
      </c>
      <c r="M61" s="22" t="s">
        <v>137</v>
      </c>
      <c r="N61" s="23" t="s">
        <v>137</v>
      </c>
      <c r="O61" s="20" t="s">
        <v>22</v>
      </c>
      <c r="P61" s="19" t="s">
        <v>136</v>
      </c>
      <c r="Q61" s="17" t="s">
        <v>157</v>
      </c>
      <c r="R61" s="17" t="s">
        <v>354</v>
      </c>
      <c r="S61" s="17" t="s">
        <v>355</v>
      </c>
      <c r="T61" s="17" t="s">
        <v>160</v>
      </c>
      <c r="U61" s="26" t="s">
        <v>148</v>
      </c>
      <c r="V61" s="17" t="s">
        <v>142</v>
      </c>
    </row>
    <row r="62" spans="1:22" ht="25.5" x14ac:dyDescent="0.25">
      <c r="A62" s="22" t="s">
        <v>495</v>
      </c>
      <c r="B62" s="23" t="s">
        <v>364</v>
      </c>
      <c r="C62" s="22" t="s">
        <v>371</v>
      </c>
      <c r="D62" s="23">
        <v>2</v>
      </c>
      <c r="E62" s="22" t="s">
        <v>162</v>
      </c>
      <c r="F62" s="22" t="s">
        <v>176</v>
      </c>
      <c r="G62" s="22" t="s">
        <v>177</v>
      </c>
      <c r="H62" s="22" t="s">
        <v>178</v>
      </c>
      <c r="I62" s="22" t="s">
        <v>135</v>
      </c>
      <c r="J62" s="19" t="s">
        <v>136</v>
      </c>
      <c r="K62" s="19" t="s">
        <v>136</v>
      </c>
      <c r="L62" s="19" t="s">
        <v>136</v>
      </c>
      <c r="M62" s="22" t="s">
        <v>137</v>
      </c>
      <c r="N62" s="23" t="s">
        <v>137</v>
      </c>
      <c r="O62" s="20" t="s">
        <v>22</v>
      </c>
      <c r="P62" s="19" t="s">
        <v>136</v>
      </c>
      <c r="Q62" s="22" t="s">
        <v>138</v>
      </c>
      <c r="R62" s="22" t="s">
        <v>139</v>
      </c>
      <c r="S62" s="22" t="s">
        <v>179</v>
      </c>
      <c r="T62" s="22" t="s">
        <v>141</v>
      </c>
      <c r="U62" s="25" t="s">
        <v>136</v>
      </c>
      <c r="V62" s="22" t="s">
        <v>142</v>
      </c>
    </row>
    <row r="64" spans="1:22" x14ac:dyDescent="0.25">
      <c r="A64" s="53" t="s">
        <v>372</v>
      </c>
      <c r="B64" s="53"/>
      <c r="C64" s="53"/>
      <c r="D64" s="53"/>
      <c r="E64" s="53"/>
      <c r="F64" s="53"/>
      <c r="G64" s="53"/>
      <c r="H64" s="53"/>
      <c r="I64" s="53"/>
      <c r="J64" s="53"/>
      <c r="K64" s="53"/>
      <c r="L64" s="53"/>
      <c r="M64" s="53"/>
      <c r="N64" s="53"/>
      <c r="O64" s="53"/>
      <c r="P64" s="53"/>
      <c r="Q64" s="53"/>
      <c r="R64" s="53"/>
      <c r="S64" s="53"/>
      <c r="T64" s="53"/>
      <c r="U64" s="53"/>
      <c r="V64" s="53"/>
    </row>
  </sheetData>
  <autoFilter ref="A4:V62" xr:uid="{00000000-0009-0000-0000-000003000000}"/>
  <mergeCells count="3">
    <mergeCell ref="A1:V1"/>
    <mergeCell ref="A2:V2"/>
    <mergeCell ref="A64:V6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4"/>
  <sheetViews>
    <sheetView showGridLines="0" zoomScaleNormal="100" workbookViewId="0">
      <pane xSplit="3" ySplit="4" topLeftCell="I60" activePane="bottomRight" state="frozen"/>
      <selection pane="topRight" activeCell="D1" sqref="D1"/>
      <selection pane="bottomLeft" activeCell="A5" sqref="A5"/>
      <selection pane="bottomRight" activeCell="J56" sqref="J56:O57"/>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539</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540</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541</v>
      </c>
      <c r="B5" s="18" t="s">
        <v>129</v>
      </c>
      <c r="C5" s="17" t="s">
        <v>542</v>
      </c>
      <c r="D5" s="18">
        <v>3</v>
      </c>
      <c r="E5" s="17" t="s">
        <v>131</v>
      </c>
      <c r="F5" s="17" t="s">
        <v>132</v>
      </c>
      <c r="G5" s="17" t="s">
        <v>133</v>
      </c>
      <c r="H5" s="17" t="s">
        <v>134</v>
      </c>
      <c r="I5" s="17" t="s">
        <v>135</v>
      </c>
      <c r="J5" s="19" t="s">
        <v>136</v>
      </c>
      <c r="K5" s="19" t="s">
        <v>136</v>
      </c>
      <c r="L5" s="19" t="s">
        <v>136</v>
      </c>
      <c r="M5" s="17" t="s">
        <v>137</v>
      </c>
      <c r="N5" s="18" t="s">
        <v>137</v>
      </c>
      <c r="O5" s="20" t="s">
        <v>22</v>
      </c>
      <c r="P5" s="19" t="s">
        <v>136</v>
      </c>
      <c r="Q5" s="17" t="s">
        <v>138</v>
      </c>
      <c r="R5" s="17" t="s">
        <v>139</v>
      </c>
      <c r="S5" s="17" t="s">
        <v>140</v>
      </c>
      <c r="T5" s="17" t="s">
        <v>141</v>
      </c>
      <c r="U5" s="21" t="s">
        <v>136</v>
      </c>
      <c r="V5" s="17" t="s">
        <v>142</v>
      </c>
    </row>
    <row r="6" spans="1:22" ht="25.5" x14ac:dyDescent="0.25">
      <c r="A6" s="22" t="s">
        <v>541</v>
      </c>
      <c r="B6" s="23" t="s">
        <v>129</v>
      </c>
      <c r="C6" s="22" t="s">
        <v>543</v>
      </c>
      <c r="D6" s="23">
        <v>3</v>
      </c>
      <c r="E6" s="22" t="s">
        <v>131</v>
      </c>
      <c r="F6" s="22" t="s">
        <v>144</v>
      </c>
      <c r="G6" s="22" t="s">
        <v>145</v>
      </c>
      <c r="H6" s="22" t="s">
        <v>146</v>
      </c>
      <c r="I6" s="22" t="s">
        <v>147</v>
      </c>
      <c r="J6" s="19" t="s">
        <v>136</v>
      </c>
      <c r="K6" s="19" t="s">
        <v>136</v>
      </c>
      <c r="L6" s="19" t="s">
        <v>136</v>
      </c>
      <c r="M6" s="22" t="s">
        <v>137</v>
      </c>
      <c r="N6" s="23" t="s">
        <v>137</v>
      </c>
      <c r="O6" s="20" t="s">
        <v>22</v>
      </c>
      <c r="P6" s="24" t="s">
        <v>148</v>
      </c>
      <c r="Q6" s="22" t="s">
        <v>149</v>
      </c>
      <c r="R6" s="22" t="s">
        <v>139</v>
      </c>
      <c r="S6" s="22" t="s">
        <v>150</v>
      </c>
      <c r="T6" s="22" t="s">
        <v>141</v>
      </c>
      <c r="U6" s="25" t="s">
        <v>136</v>
      </c>
      <c r="V6" s="22" t="s">
        <v>142</v>
      </c>
    </row>
    <row r="7" spans="1:22" ht="51" x14ac:dyDescent="0.25">
      <c r="A7" s="17" t="s">
        <v>541</v>
      </c>
      <c r="B7" s="18" t="s">
        <v>129</v>
      </c>
      <c r="C7" s="17" t="s">
        <v>151</v>
      </c>
      <c r="D7" s="18">
        <v>3</v>
      </c>
      <c r="E7" s="17" t="s">
        <v>190</v>
      </c>
      <c r="F7" s="17" t="s">
        <v>153</v>
      </c>
      <c r="G7" s="17" t="s">
        <v>154</v>
      </c>
      <c r="H7" s="17" t="s">
        <v>155</v>
      </c>
      <c r="I7" s="17" t="s">
        <v>156</v>
      </c>
      <c r="J7" s="19" t="s">
        <v>136</v>
      </c>
      <c r="K7" s="19" t="s">
        <v>136</v>
      </c>
      <c r="L7" s="19" t="s">
        <v>136</v>
      </c>
      <c r="M7" s="22" t="s">
        <v>137</v>
      </c>
      <c r="N7" s="23" t="s">
        <v>137</v>
      </c>
      <c r="O7" s="20" t="s">
        <v>22</v>
      </c>
      <c r="P7" s="24" t="s">
        <v>148</v>
      </c>
      <c r="Q7" s="17" t="s">
        <v>157</v>
      </c>
      <c r="R7" s="17" t="s">
        <v>158</v>
      </c>
      <c r="S7" s="17" t="s">
        <v>159</v>
      </c>
      <c r="T7" s="17" t="s">
        <v>160</v>
      </c>
      <c r="U7" s="26" t="s">
        <v>148</v>
      </c>
      <c r="V7" s="17" t="s">
        <v>142</v>
      </c>
    </row>
    <row r="8" spans="1:22" ht="25.5" x14ac:dyDescent="0.25">
      <c r="A8" s="22" t="s">
        <v>541</v>
      </c>
      <c r="B8" s="23" t="s">
        <v>129</v>
      </c>
      <c r="C8" s="22" t="s">
        <v>161</v>
      </c>
      <c r="D8" s="23">
        <v>2</v>
      </c>
      <c r="E8" s="22" t="s">
        <v>162</v>
      </c>
      <c r="F8" s="22" t="s">
        <v>163</v>
      </c>
      <c r="G8" s="22" t="s">
        <v>164</v>
      </c>
      <c r="H8" s="22" t="s">
        <v>165</v>
      </c>
      <c r="I8" s="22" t="s">
        <v>136</v>
      </c>
      <c r="J8" s="19" t="s">
        <v>136</v>
      </c>
      <c r="K8" s="19" t="s">
        <v>136</v>
      </c>
      <c r="L8" s="19" t="s">
        <v>136</v>
      </c>
      <c r="M8" s="22" t="s">
        <v>137</v>
      </c>
      <c r="N8" s="23" t="s">
        <v>137</v>
      </c>
      <c r="O8" s="20" t="s">
        <v>22</v>
      </c>
      <c r="P8" s="19" t="s">
        <v>136</v>
      </c>
      <c r="Q8" s="22" t="s">
        <v>138</v>
      </c>
      <c r="R8" s="22" t="s">
        <v>139</v>
      </c>
      <c r="S8" s="22" t="s">
        <v>166</v>
      </c>
      <c r="T8" s="22" t="s">
        <v>141</v>
      </c>
      <c r="U8" s="25" t="s">
        <v>136</v>
      </c>
      <c r="V8" s="22" t="s">
        <v>142</v>
      </c>
    </row>
    <row r="9" spans="1:22" ht="25.5" x14ac:dyDescent="0.25">
      <c r="A9" s="17" t="s">
        <v>541</v>
      </c>
      <c r="B9" s="18" t="s">
        <v>129</v>
      </c>
      <c r="C9" s="17" t="s">
        <v>167</v>
      </c>
      <c r="D9" s="18">
        <v>2</v>
      </c>
      <c r="E9" s="17" t="s">
        <v>162</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541</v>
      </c>
      <c r="B10" s="23" t="s">
        <v>129</v>
      </c>
      <c r="C10" s="22" t="s">
        <v>544</v>
      </c>
      <c r="D10" s="23">
        <v>1</v>
      </c>
      <c r="E10" s="22" t="s">
        <v>162</v>
      </c>
      <c r="F10" s="22" t="s">
        <v>169</v>
      </c>
      <c r="G10" s="22" t="s">
        <v>170</v>
      </c>
      <c r="H10" s="22" t="s">
        <v>171</v>
      </c>
      <c r="I10" s="22" t="s">
        <v>135</v>
      </c>
      <c r="J10" s="19" t="s">
        <v>136</v>
      </c>
      <c r="K10" s="19" t="s">
        <v>136</v>
      </c>
      <c r="L10" s="19" t="s">
        <v>136</v>
      </c>
      <c r="M10" s="22" t="s">
        <v>137</v>
      </c>
      <c r="N10" s="23" t="s">
        <v>137</v>
      </c>
      <c r="O10" s="20" t="s">
        <v>22</v>
      </c>
      <c r="P10" s="19" t="s">
        <v>136</v>
      </c>
      <c r="Q10" s="22" t="s">
        <v>138</v>
      </c>
      <c r="R10" s="22" t="s">
        <v>139</v>
      </c>
      <c r="S10" s="22" t="s">
        <v>172</v>
      </c>
      <c r="T10" s="22" t="s">
        <v>141</v>
      </c>
      <c r="U10" s="25" t="s">
        <v>136</v>
      </c>
      <c r="V10" s="22" t="s">
        <v>142</v>
      </c>
    </row>
    <row r="11" spans="1:22" ht="25.5" x14ac:dyDescent="0.25">
      <c r="A11" s="17" t="s">
        <v>541</v>
      </c>
      <c r="B11" s="18" t="s">
        <v>129</v>
      </c>
      <c r="C11" s="17" t="s">
        <v>545</v>
      </c>
      <c r="D11" s="18">
        <v>1</v>
      </c>
      <c r="E11" s="17" t="s">
        <v>162</v>
      </c>
      <c r="F11" s="17" t="s">
        <v>169</v>
      </c>
      <c r="G11" s="17" t="s">
        <v>170</v>
      </c>
      <c r="H11" s="17" t="s">
        <v>171</v>
      </c>
      <c r="I11" s="17" t="s">
        <v>135</v>
      </c>
      <c r="J11" s="19" t="s">
        <v>136</v>
      </c>
      <c r="K11" s="19" t="s">
        <v>136</v>
      </c>
      <c r="L11" s="19" t="s">
        <v>136</v>
      </c>
      <c r="M11" s="17" t="s">
        <v>137</v>
      </c>
      <c r="N11" s="18" t="s">
        <v>137</v>
      </c>
      <c r="O11" s="20" t="s">
        <v>22</v>
      </c>
      <c r="P11" s="19" t="s">
        <v>136</v>
      </c>
      <c r="Q11" s="17" t="s">
        <v>138</v>
      </c>
      <c r="R11" s="17" t="s">
        <v>139</v>
      </c>
      <c r="S11" s="17" t="s">
        <v>172</v>
      </c>
      <c r="T11" s="17" t="s">
        <v>141</v>
      </c>
      <c r="U11" s="21" t="s">
        <v>136</v>
      </c>
      <c r="V11" s="17" t="s">
        <v>142</v>
      </c>
    </row>
    <row r="12" spans="1:22" ht="25.5" x14ac:dyDescent="0.25">
      <c r="A12" s="22" t="s">
        <v>541</v>
      </c>
      <c r="B12" s="23" t="s">
        <v>129</v>
      </c>
      <c r="C12" s="22" t="s">
        <v>174</v>
      </c>
      <c r="D12" s="23">
        <v>1</v>
      </c>
      <c r="E12" s="22" t="s">
        <v>162</v>
      </c>
      <c r="F12" s="22" t="s">
        <v>163</v>
      </c>
      <c r="G12" s="22" t="s">
        <v>164</v>
      </c>
      <c r="H12" s="22" t="s">
        <v>165</v>
      </c>
      <c r="I12" s="22" t="s">
        <v>136</v>
      </c>
      <c r="J12" s="19" t="s">
        <v>136</v>
      </c>
      <c r="K12" s="19" t="s">
        <v>136</v>
      </c>
      <c r="L12" s="19" t="s">
        <v>136</v>
      </c>
      <c r="M12" s="22" t="s">
        <v>137</v>
      </c>
      <c r="N12" s="23" t="s">
        <v>137</v>
      </c>
      <c r="O12" s="20" t="s">
        <v>22</v>
      </c>
      <c r="P12" s="19" t="s">
        <v>136</v>
      </c>
      <c r="Q12" s="22" t="s">
        <v>138</v>
      </c>
      <c r="R12" s="22" t="s">
        <v>139</v>
      </c>
      <c r="S12" s="22" t="s">
        <v>166</v>
      </c>
      <c r="T12" s="22" t="s">
        <v>141</v>
      </c>
      <c r="U12" s="25" t="s">
        <v>136</v>
      </c>
      <c r="V12" s="22" t="s">
        <v>142</v>
      </c>
    </row>
    <row r="13" spans="1:22" ht="25.5" x14ac:dyDescent="0.25">
      <c r="A13" s="17" t="s">
        <v>541</v>
      </c>
      <c r="B13" s="18" t="s">
        <v>129</v>
      </c>
      <c r="C13" s="17" t="s">
        <v>175</v>
      </c>
      <c r="D13" s="18">
        <v>2</v>
      </c>
      <c r="E13" s="17" t="s">
        <v>162</v>
      </c>
      <c r="F13" s="17" t="s">
        <v>176</v>
      </c>
      <c r="G13" s="17" t="s">
        <v>177</v>
      </c>
      <c r="H13" s="17" t="s">
        <v>178</v>
      </c>
      <c r="I13" s="17" t="s">
        <v>135</v>
      </c>
      <c r="J13" s="19" t="s">
        <v>136</v>
      </c>
      <c r="K13" s="19" t="s">
        <v>136</v>
      </c>
      <c r="L13" s="19" t="s">
        <v>136</v>
      </c>
      <c r="M13" s="17" t="s">
        <v>137</v>
      </c>
      <c r="N13" s="18" t="s">
        <v>137</v>
      </c>
      <c r="O13" s="20" t="s">
        <v>22</v>
      </c>
      <c r="P13" s="19" t="s">
        <v>136</v>
      </c>
      <c r="Q13" s="17" t="s">
        <v>138</v>
      </c>
      <c r="R13" s="17" t="s">
        <v>139</v>
      </c>
      <c r="S13" s="17" t="s">
        <v>179</v>
      </c>
      <c r="T13" s="17" t="s">
        <v>141</v>
      </c>
      <c r="U13" s="21" t="s">
        <v>136</v>
      </c>
      <c r="V13" s="17" t="s">
        <v>142</v>
      </c>
    </row>
    <row r="14" spans="1:22" ht="25.5" x14ac:dyDescent="0.25">
      <c r="A14" s="22" t="s">
        <v>541</v>
      </c>
      <c r="B14" s="23" t="s">
        <v>180</v>
      </c>
      <c r="C14" s="22" t="s">
        <v>183</v>
      </c>
      <c r="D14" s="23">
        <v>4</v>
      </c>
      <c r="E14" s="22" t="s">
        <v>131</v>
      </c>
      <c r="F14" s="22" t="s">
        <v>184</v>
      </c>
      <c r="G14" s="22" t="s">
        <v>185</v>
      </c>
      <c r="H14" s="22" t="s">
        <v>186</v>
      </c>
      <c r="I14" s="22" t="s">
        <v>147</v>
      </c>
      <c r="J14" s="19" t="s">
        <v>136</v>
      </c>
      <c r="K14" s="19" t="s">
        <v>136</v>
      </c>
      <c r="L14" s="19" t="s">
        <v>136</v>
      </c>
      <c r="M14" s="22" t="s">
        <v>137</v>
      </c>
      <c r="N14" s="23" t="s">
        <v>137</v>
      </c>
      <c r="O14" s="20" t="s">
        <v>22</v>
      </c>
      <c r="P14" s="24" t="s">
        <v>148</v>
      </c>
      <c r="Q14" s="22" t="s">
        <v>187</v>
      </c>
      <c r="R14" s="22" t="s">
        <v>139</v>
      </c>
      <c r="S14" s="22" t="s">
        <v>188</v>
      </c>
      <c r="T14" s="22" t="s">
        <v>141</v>
      </c>
      <c r="U14" s="25" t="s">
        <v>136</v>
      </c>
      <c r="V14" s="22" t="s">
        <v>142</v>
      </c>
    </row>
    <row r="15" spans="1:22" ht="25.5" x14ac:dyDescent="0.25">
      <c r="A15" s="17" t="s">
        <v>541</v>
      </c>
      <c r="B15" s="18" t="s">
        <v>180</v>
      </c>
      <c r="C15" s="17" t="s">
        <v>181</v>
      </c>
      <c r="D15" s="18">
        <v>4</v>
      </c>
      <c r="E15" s="17" t="s">
        <v>131</v>
      </c>
      <c r="F15" s="17" t="s">
        <v>132</v>
      </c>
      <c r="G15" s="17" t="s">
        <v>133</v>
      </c>
      <c r="H15" s="17" t="s">
        <v>134</v>
      </c>
      <c r="I15" s="17" t="s">
        <v>135</v>
      </c>
      <c r="J15" s="19" t="s">
        <v>136</v>
      </c>
      <c r="K15" s="19" t="s">
        <v>136</v>
      </c>
      <c r="L15" s="19" t="s">
        <v>136</v>
      </c>
      <c r="M15" s="17" t="s">
        <v>137</v>
      </c>
      <c r="N15" s="18" t="s">
        <v>137</v>
      </c>
      <c r="O15" s="20" t="s">
        <v>22</v>
      </c>
      <c r="P15" s="19" t="s">
        <v>136</v>
      </c>
      <c r="Q15" s="17" t="s">
        <v>138</v>
      </c>
      <c r="R15" s="17" t="s">
        <v>139</v>
      </c>
      <c r="S15" s="17" t="s">
        <v>140</v>
      </c>
      <c r="T15" s="17" t="s">
        <v>141</v>
      </c>
      <c r="U15" s="21" t="s">
        <v>136</v>
      </c>
      <c r="V15" s="17" t="s">
        <v>142</v>
      </c>
    </row>
    <row r="16" spans="1:22" ht="25.5" x14ac:dyDescent="0.25">
      <c r="A16" s="22" t="s">
        <v>541</v>
      </c>
      <c r="B16" s="23" t="s">
        <v>180</v>
      </c>
      <c r="C16" s="22" t="s">
        <v>546</v>
      </c>
      <c r="D16" s="23">
        <v>3</v>
      </c>
      <c r="E16" s="22" t="s">
        <v>131</v>
      </c>
      <c r="F16" s="22" t="s">
        <v>144</v>
      </c>
      <c r="G16" s="22" t="s">
        <v>145</v>
      </c>
      <c r="H16" s="22" t="s">
        <v>146</v>
      </c>
      <c r="I16" s="22" t="s">
        <v>147</v>
      </c>
      <c r="J16" s="19" t="s">
        <v>136</v>
      </c>
      <c r="K16" s="19" t="s">
        <v>136</v>
      </c>
      <c r="L16" s="19" t="s">
        <v>136</v>
      </c>
      <c r="M16" s="22" t="s">
        <v>137</v>
      </c>
      <c r="N16" s="23" t="s">
        <v>137</v>
      </c>
      <c r="O16" s="20" t="s">
        <v>22</v>
      </c>
      <c r="P16" s="24" t="s">
        <v>148</v>
      </c>
      <c r="Q16" s="22" t="s">
        <v>149</v>
      </c>
      <c r="R16" s="22" t="s">
        <v>139</v>
      </c>
      <c r="S16" s="22" t="s">
        <v>150</v>
      </c>
      <c r="T16" s="22" t="s">
        <v>141</v>
      </c>
      <c r="U16" s="25" t="s">
        <v>136</v>
      </c>
      <c r="V16" s="22" t="s">
        <v>142</v>
      </c>
    </row>
    <row r="17" spans="1:22" ht="25.5" x14ac:dyDescent="0.25">
      <c r="A17" s="17" t="s">
        <v>541</v>
      </c>
      <c r="B17" s="18" t="s">
        <v>180</v>
      </c>
      <c r="C17" s="17" t="s">
        <v>547</v>
      </c>
      <c r="D17" s="18">
        <v>3</v>
      </c>
      <c r="E17" s="17" t="s">
        <v>131</v>
      </c>
      <c r="F17" s="17" t="s">
        <v>548</v>
      </c>
      <c r="G17" s="17" t="s">
        <v>549</v>
      </c>
      <c r="H17" s="17" t="s">
        <v>550</v>
      </c>
      <c r="I17" s="17" t="s">
        <v>147</v>
      </c>
      <c r="J17" s="19" t="s">
        <v>136</v>
      </c>
      <c r="K17" s="19" t="s">
        <v>136</v>
      </c>
      <c r="L17" s="19" t="s">
        <v>136</v>
      </c>
      <c r="M17" s="17" t="s">
        <v>137</v>
      </c>
      <c r="N17" s="18" t="s">
        <v>137</v>
      </c>
      <c r="O17" s="20" t="s">
        <v>22</v>
      </c>
      <c r="P17" s="24" t="s">
        <v>148</v>
      </c>
      <c r="Q17" s="17" t="s">
        <v>551</v>
      </c>
      <c r="R17" s="17" t="s">
        <v>139</v>
      </c>
      <c r="S17" s="17" t="s">
        <v>552</v>
      </c>
      <c r="T17" s="17" t="s">
        <v>141</v>
      </c>
      <c r="U17" s="21" t="s">
        <v>136</v>
      </c>
      <c r="V17" s="17" t="s">
        <v>142</v>
      </c>
    </row>
    <row r="18" spans="1:22" ht="25.5" x14ac:dyDescent="0.25">
      <c r="A18" s="22" t="s">
        <v>541</v>
      </c>
      <c r="B18" s="23" t="s">
        <v>180</v>
      </c>
      <c r="C18" s="22" t="s">
        <v>195</v>
      </c>
      <c r="D18" s="23">
        <v>2</v>
      </c>
      <c r="E18" s="22" t="s">
        <v>162</v>
      </c>
      <c r="F18" s="22" t="s">
        <v>163</v>
      </c>
      <c r="G18" s="22" t="s">
        <v>164</v>
      </c>
      <c r="H18" s="22" t="s">
        <v>165</v>
      </c>
      <c r="I18" s="22" t="s">
        <v>136</v>
      </c>
      <c r="J18" s="19" t="s">
        <v>136</v>
      </c>
      <c r="K18" s="19" t="s">
        <v>136</v>
      </c>
      <c r="L18" s="19" t="s">
        <v>136</v>
      </c>
      <c r="M18" s="22" t="s">
        <v>137</v>
      </c>
      <c r="N18" s="23" t="s">
        <v>137</v>
      </c>
      <c r="O18" s="20" t="s">
        <v>22</v>
      </c>
      <c r="P18" s="19" t="s">
        <v>136</v>
      </c>
      <c r="Q18" s="22" t="s">
        <v>138</v>
      </c>
      <c r="R18" s="22" t="s">
        <v>139</v>
      </c>
      <c r="S18" s="22" t="s">
        <v>166</v>
      </c>
      <c r="T18" s="22" t="s">
        <v>141</v>
      </c>
      <c r="U18" s="25" t="s">
        <v>136</v>
      </c>
      <c r="V18" s="22" t="s">
        <v>142</v>
      </c>
    </row>
    <row r="19" spans="1:22" ht="25.5" x14ac:dyDescent="0.25">
      <c r="A19" s="17" t="s">
        <v>541</v>
      </c>
      <c r="B19" s="18" t="s">
        <v>180</v>
      </c>
      <c r="C19" s="17" t="s">
        <v>197</v>
      </c>
      <c r="D19" s="18">
        <v>2</v>
      </c>
      <c r="E19" s="17" t="s">
        <v>162</v>
      </c>
      <c r="F19" s="17" t="s">
        <v>176</v>
      </c>
      <c r="G19" s="17" t="s">
        <v>177</v>
      </c>
      <c r="H19" s="17" t="s">
        <v>178</v>
      </c>
      <c r="I19" s="17" t="s">
        <v>135</v>
      </c>
      <c r="J19" s="19" t="s">
        <v>136</v>
      </c>
      <c r="K19" s="19" t="s">
        <v>136</v>
      </c>
      <c r="L19" s="19" t="s">
        <v>136</v>
      </c>
      <c r="M19" s="17" t="s">
        <v>137</v>
      </c>
      <c r="N19" s="18" t="s">
        <v>137</v>
      </c>
      <c r="O19" s="20" t="s">
        <v>22</v>
      </c>
      <c r="P19" s="19" t="s">
        <v>136</v>
      </c>
      <c r="Q19" s="17" t="s">
        <v>138</v>
      </c>
      <c r="R19" s="17" t="s">
        <v>139</v>
      </c>
      <c r="S19" s="17" t="s">
        <v>179</v>
      </c>
      <c r="T19" s="17" t="s">
        <v>141</v>
      </c>
      <c r="U19" s="21" t="s">
        <v>136</v>
      </c>
      <c r="V19" s="17" t="s">
        <v>142</v>
      </c>
    </row>
    <row r="20" spans="1:22" ht="25.5" x14ac:dyDescent="0.25">
      <c r="A20" s="22" t="s">
        <v>541</v>
      </c>
      <c r="B20" s="23" t="s">
        <v>198</v>
      </c>
      <c r="C20" s="22" t="s">
        <v>199</v>
      </c>
      <c r="D20" s="23">
        <v>3</v>
      </c>
      <c r="E20" s="22" t="s">
        <v>131</v>
      </c>
      <c r="F20" s="22" t="s">
        <v>132</v>
      </c>
      <c r="G20" s="22" t="s">
        <v>133</v>
      </c>
      <c r="H20" s="22" t="s">
        <v>134</v>
      </c>
      <c r="I20" s="22" t="s">
        <v>135</v>
      </c>
      <c r="J20" s="19" t="s">
        <v>136</v>
      </c>
      <c r="K20" s="19" t="s">
        <v>136</v>
      </c>
      <c r="L20" s="19" t="s">
        <v>136</v>
      </c>
      <c r="M20" s="22" t="s">
        <v>137</v>
      </c>
      <c r="N20" s="23" t="s">
        <v>137</v>
      </c>
      <c r="O20" s="20" t="s">
        <v>22</v>
      </c>
      <c r="P20" s="19" t="s">
        <v>136</v>
      </c>
      <c r="Q20" s="22" t="s">
        <v>138</v>
      </c>
      <c r="R20" s="22" t="s">
        <v>139</v>
      </c>
      <c r="S20" s="22" t="s">
        <v>140</v>
      </c>
      <c r="T20" s="22" t="s">
        <v>141</v>
      </c>
      <c r="U20" s="25" t="s">
        <v>136</v>
      </c>
      <c r="V20" s="22" t="s">
        <v>142</v>
      </c>
    </row>
    <row r="21" spans="1:22" ht="25.5" x14ac:dyDescent="0.25">
      <c r="A21" s="17" t="s">
        <v>541</v>
      </c>
      <c r="B21" s="18" t="s">
        <v>198</v>
      </c>
      <c r="C21" s="17" t="s">
        <v>182</v>
      </c>
      <c r="D21" s="18">
        <v>3</v>
      </c>
      <c r="E21" s="17" t="s">
        <v>131</v>
      </c>
      <c r="F21" s="17" t="s">
        <v>132</v>
      </c>
      <c r="G21" s="17" t="s">
        <v>133</v>
      </c>
      <c r="H21" s="17" t="s">
        <v>134</v>
      </c>
      <c r="I21" s="17" t="s">
        <v>135</v>
      </c>
      <c r="J21" s="19" t="s">
        <v>136</v>
      </c>
      <c r="K21" s="19" t="s">
        <v>136</v>
      </c>
      <c r="L21" s="19" t="s">
        <v>136</v>
      </c>
      <c r="M21" s="17" t="s">
        <v>137</v>
      </c>
      <c r="N21" s="18" t="s">
        <v>137</v>
      </c>
      <c r="O21" s="20" t="s">
        <v>22</v>
      </c>
      <c r="P21" s="19" t="s">
        <v>136</v>
      </c>
      <c r="Q21" s="17" t="s">
        <v>138</v>
      </c>
      <c r="R21" s="17" t="s">
        <v>139</v>
      </c>
      <c r="S21" s="17" t="s">
        <v>140</v>
      </c>
      <c r="T21" s="17" t="s">
        <v>141</v>
      </c>
      <c r="U21" s="21" t="s">
        <v>136</v>
      </c>
      <c r="V21" s="17" t="s">
        <v>142</v>
      </c>
    </row>
    <row r="22" spans="1:22" ht="25.5" x14ac:dyDescent="0.25">
      <c r="A22" s="22" t="s">
        <v>541</v>
      </c>
      <c r="B22" s="23" t="s">
        <v>198</v>
      </c>
      <c r="C22" s="22" t="s">
        <v>553</v>
      </c>
      <c r="D22" s="23">
        <v>3</v>
      </c>
      <c r="E22" s="22" t="s">
        <v>131</v>
      </c>
      <c r="F22" s="22" t="s">
        <v>548</v>
      </c>
      <c r="G22" s="22" t="s">
        <v>549</v>
      </c>
      <c r="H22" s="22" t="s">
        <v>550</v>
      </c>
      <c r="I22" s="22" t="s">
        <v>147</v>
      </c>
      <c r="J22" s="19" t="s">
        <v>136</v>
      </c>
      <c r="K22" s="19" t="s">
        <v>136</v>
      </c>
      <c r="L22" s="19" t="s">
        <v>136</v>
      </c>
      <c r="M22" s="22" t="s">
        <v>137</v>
      </c>
      <c r="N22" s="23" t="s">
        <v>137</v>
      </c>
      <c r="O22" s="20" t="s">
        <v>22</v>
      </c>
      <c r="P22" s="24" t="s">
        <v>148</v>
      </c>
      <c r="Q22" s="22" t="s">
        <v>551</v>
      </c>
      <c r="R22" s="22" t="s">
        <v>139</v>
      </c>
      <c r="S22" s="22" t="s">
        <v>552</v>
      </c>
      <c r="T22" s="22" t="s">
        <v>141</v>
      </c>
      <c r="U22" s="25" t="s">
        <v>136</v>
      </c>
      <c r="V22" s="22" t="s">
        <v>142</v>
      </c>
    </row>
    <row r="23" spans="1:22" ht="25.5" x14ac:dyDescent="0.25">
      <c r="A23" s="17" t="s">
        <v>541</v>
      </c>
      <c r="B23" s="18" t="s">
        <v>198</v>
      </c>
      <c r="C23" s="17" t="s">
        <v>226</v>
      </c>
      <c r="D23" s="18">
        <v>2</v>
      </c>
      <c r="E23" s="17" t="s">
        <v>190</v>
      </c>
      <c r="F23" s="17" t="s">
        <v>132</v>
      </c>
      <c r="G23" s="17" t="s">
        <v>133</v>
      </c>
      <c r="H23" s="17" t="s">
        <v>134</v>
      </c>
      <c r="I23" s="17" t="s">
        <v>135</v>
      </c>
      <c r="J23" s="19" t="s">
        <v>136</v>
      </c>
      <c r="K23" s="19" t="s">
        <v>136</v>
      </c>
      <c r="L23" s="19" t="s">
        <v>136</v>
      </c>
      <c r="M23" s="17" t="s">
        <v>137</v>
      </c>
      <c r="N23" s="18" t="s">
        <v>137</v>
      </c>
      <c r="O23" s="20" t="s">
        <v>22</v>
      </c>
      <c r="P23" s="19" t="s">
        <v>136</v>
      </c>
      <c r="Q23" s="17" t="s">
        <v>138</v>
      </c>
      <c r="R23" s="17" t="s">
        <v>139</v>
      </c>
      <c r="S23" s="17" t="s">
        <v>140</v>
      </c>
      <c r="T23" s="17" t="s">
        <v>141</v>
      </c>
      <c r="U23" s="21" t="s">
        <v>136</v>
      </c>
      <c r="V23" s="17" t="s">
        <v>142</v>
      </c>
    </row>
    <row r="24" spans="1:22" ht="25.5" x14ac:dyDescent="0.25">
      <c r="A24" s="22" t="s">
        <v>541</v>
      </c>
      <c r="B24" s="23" t="s">
        <v>198</v>
      </c>
      <c r="C24" s="22" t="s">
        <v>554</v>
      </c>
      <c r="D24" s="23">
        <v>3</v>
      </c>
      <c r="E24" s="22" t="s">
        <v>190</v>
      </c>
      <c r="F24" s="22" t="s">
        <v>144</v>
      </c>
      <c r="G24" s="22" t="s">
        <v>145</v>
      </c>
      <c r="H24" s="22" t="s">
        <v>146</v>
      </c>
      <c r="I24" s="22" t="s">
        <v>147</v>
      </c>
      <c r="J24" s="19" t="s">
        <v>136</v>
      </c>
      <c r="K24" s="19" t="s">
        <v>136</v>
      </c>
      <c r="L24" s="19" t="s">
        <v>136</v>
      </c>
      <c r="M24" s="22" t="s">
        <v>137</v>
      </c>
      <c r="N24" s="23" t="s">
        <v>137</v>
      </c>
      <c r="O24" s="20" t="s">
        <v>22</v>
      </c>
      <c r="P24" s="24" t="s">
        <v>148</v>
      </c>
      <c r="Q24" s="22" t="s">
        <v>149</v>
      </c>
      <c r="R24" s="22" t="s">
        <v>139</v>
      </c>
      <c r="S24" s="22" t="s">
        <v>150</v>
      </c>
      <c r="T24" s="22" t="s">
        <v>141</v>
      </c>
      <c r="U24" s="25" t="s">
        <v>136</v>
      </c>
      <c r="V24" s="22" t="s">
        <v>142</v>
      </c>
    </row>
    <row r="25" spans="1:22" ht="25.5" x14ac:dyDescent="0.25">
      <c r="A25" s="17" t="s">
        <v>541</v>
      </c>
      <c r="B25" s="18" t="s">
        <v>198</v>
      </c>
      <c r="C25" s="17" t="s">
        <v>211</v>
      </c>
      <c r="D25" s="18">
        <v>2</v>
      </c>
      <c r="E25" s="17" t="s">
        <v>162</v>
      </c>
      <c r="F25" s="17" t="s">
        <v>163</v>
      </c>
      <c r="G25" s="17" t="s">
        <v>164</v>
      </c>
      <c r="H25" s="17" t="s">
        <v>165</v>
      </c>
      <c r="I25" s="17" t="s">
        <v>136</v>
      </c>
      <c r="J25" s="19" t="s">
        <v>136</v>
      </c>
      <c r="K25" s="19" t="s">
        <v>136</v>
      </c>
      <c r="L25" s="19" t="s">
        <v>136</v>
      </c>
      <c r="M25" s="17" t="s">
        <v>137</v>
      </c>
      <c r="N25" s="18" t="s">
        <v>137</v>
      </c>
      <c r="O25" s="20" t="s">
        <v>22</v>
      </c>
      <c r="P25" s="19" t="s">
        <v>136</v>
      </c>
      <c r="Q25" s="17" t="s">
        <v>138</v>
      </c>
      <c r="R25" s="17" t="s">
        <v>139</v>
      </c>
      <c r="S25" s="17" t="s">
        <v>166</v>
      </c>
      <c r="T25" s="17" t="s">
        <v>141</v>
      </c>
      <c r="U25" s="21" t="s">
        <v>136</v>
      </c>
      <c r="V25" s="17" t="s">
        <v>142</v>
      </c>
    </row>
    <row r="26" spans="1:22" ht="25.5" x14ac:dyDescent="0.25">
      <c r="A26" s="22" t="s">
        <v>541</v>
      </c>
      <c r="B26" s="23" t="s">
        <v>198</v>
      </c>
      <c r="C26" s="22" t="s">
        <v>213</v>
      </c>
      <c r="D26" s="23">
        <v>2</v>
      </c>
      <c r="E26" s="22" t="s">
        <v>162</v>
      </c>
      <c r="F26" s="22" t="s">
        <v>176</v>
      </c>
      <c r="G26" s="22" t="s">
        <v>177</v>
      </c>
      <c r="H26" s="22" t="s">
        <v>178</v>
      </c>
      <c r="I26" s="22" t="s">
        <v>135</v>
      </c>
      <c r="J26" s="19" t="s">
        <v>136</v>
      </c>
      <c r="K26" s="19" t="s">
        <v>136</v>
      </c>
      <c r="L26" s="19" t="s">
        <v>136</v>
      </c>
      <c r="M26" s="22" t="s">
        <v>137</v>
      </c>
      <c r="N26" s="23" t="s">
        <v>137</v>
      </c>
      <c r="O26" s="20" t="s">
        <v>22</v>
      </c>
      <c r="P26" s="19" t="s">
        <v>136</v>
      </c>
      <c r="Q26" s="22" t="s">
        <v>138</v>
      </c>
      <c r="R26" s="22" t="s">
        <v>139</v>
      </c>
      <c r="S26" s="22" t="s">
        <v>179</v>
      </c>
      <c r="T26" s="22" t="s">
        <v>141</v>
      </c>
      <c r="U26" s="25" t="s">
        <v>136</v>
      </c>
      <c r="V26" s="22" t="s">
        <v>142</v>
      </c>
    </row>
    <row r="27" spans="1:22" ht="25.5" x14ac:dyDescent="0.25">
      <c r="A27" s="17" t="s">
        <v>541</v>
      </c>
      <c r="B27" s="18" t="s">
        <v>214</v>
      </c>
      <c r="C27" s="17" t="s">
        <v>555</v>
      </c>
      <c r="D27" s="18">
        <v>3</v>
      </c>
      <c r="E27" s="17" t="s">
        <v>131</v>
      </c>
      <c r="F27" s="17" t="s">
        <v>132</v>
      </c>
      <c r="G27" s="17" t="s">
        <v>133</v>
      </c>
      <c r="H27" s="17" t="s">
        <v>134</v>
      </c>
      <c r="I27" s="17" t="s">
        <v>135</v>
      </c>
      <c r="J27" s="19" t="s">
        <v>136</v>
      </c>
      <c r="K27" s="19" t="s">
        <v>136</v>
      </c>
      <c r="L27" s="19" t="s">
        <v>136</v>
      </c>
      <c r="M27" s="17" t="s">
        <v>137</v>
      </c>
      <c r="N27" s="18" t="s">
        <v>137</v>
      </c>
      <c r="O27" s="20" t="s">
        <v>22</v>
      </c>
      <c r="P27" s="19" t="s">
        <v>136</v>
      </c>
      <c r="Q27" s="17" t="s">
        <v>138</v>
      </c>
      <c r="R27" s="17" t="s">
        <v>139</v>
      </c>
      <c r="S27" s="17" t="s">
        <v>140</v>
      </c>
      <c r="T27" s="17" t="s">
        <v>141</v>
      </c>
      <c r="U27" s="21" t="s">
        <v>136</v>
      </c>
      <c r="V27" s="17" t="s">
        <v>142</v>
      </c>
    </row>
    <row r="28" spans="1:22" ht="25.5" x14ac:dyDescent="0.25">
      <c r="A28" s="22" t="s">
        <v>541</v>
      </c>
      <c r="B28" s="23" t="s">
        <v>214</v>
      </c>
      <c r="C28" s="22" t="s">
        <v>556</v>
      </c>
      <c r="D28" s="23">
        <v>3</v>
      </c>
      <c r="E28" s="22" t="s">
        <v>190</v>
      </c>
      <c r="F28" s="22" t="s">
        <v>144</v>
      </c>
      <c r="G28" s="22" t="s">
        <v>145</v>
      </c>
      <c r="H28" s="22" t="s">
        <v>146</v>
      </c>
      <c r="I28" s="22" t="s">
        <v>147</v>
      </c>
      <c r="J28" s="19" t="s">
        <v>136</v>
      </c>
      <c r="K28" s="19" t="s">
        <v>136</v>
      </c>
      <c r="L28" s="19" t="s">
        <v>136</v>
      </c>
      <c r="M28" s="22" t="s">
        <v>137</v>
      </c>
      <c r="N28" s="23" t="s">
        <v>137</v>
      </c>
      <c r="O28" s="20" t="s">
        <v>22</v>
      </c>
      <c r="P28" s="24" t="s">
        <v>148</v>
      </c>
      <c r="Q28" s="22" t="s">
        <v>149</v>
      </c>
      <c r="R28" s="22" t="s">
        <v>139</v>
      </c>
      <c r="S28" s="22" t="s">
        <v>150</v>
      </c>
      <c r="T28" s="22" t="s">
        <v>141</v>
      </c>
      <c r="U28" s="25" t="s">
        <v>136</v>
      </c>
      <c r="V28" s="22" t="s">
        <v>142</v>
      </c>
    </row>
    <row r="29" spans="1:22" ht="25.5" x14ac:dyDescent="0.25">
      <c r="A29" s="17" t="s">
        <v>541</v>
      </c>
      <c r="B29" s="18" t="s">
        <v>214</v>
      </c>
      <c r="C29" s="17" t="s">
        <v>557</v>
      </c>
      <c r="D29" s="18">
        <v>3</v>
      </c>
      <c r="E29" s="17" t="s">
        <v>190</v>
      </c>
      <c r="F29" s="17" t="s">
        <v>548</v>
      </c>
      <c r="G29" s="17" t="s">
        <v>549</v>
      </c>
      <c r="H29" s="17" t="s">
        <v>550</v>
      </c>
      <c r="I29" s="17" t="s">
        <v>147</v>
      </c>
      <c r="J29" s="19" t="s">
        <v>136</v>
      </c>
      <c r="K29" s="19" t="s">
        <v>136</v>
      </c>
      <c r="L29" s="19" t="s">
        <v>136</v>
      </c>
      <c r="M29" s="17" t="s">
        <v>137</v>
      </c>
      <c r="N29" s="18" t="s">
        <v>137</v>
      </c>
      <c r="O29" s="20" t="s">
        <v>22</v>
      </c>
      <c r="P29" s="24" t="s">
        <v>148</v>
      </c>
      <c r="Q29" s="17" t="s">
        <v>551</v>
      </c>
      <c r="R29" s="17" t="s">
        <v>139</v>
      </c>
      <c r="S29" s="17" t="s">
        <v>552</v>
      </c>
      <c r="T29" s="17" t="s">
        <v>141</v>
      </c>
      <c r="U29" s="21" t="s">
        <v>136</v>
      </c>
      <c r="V29" s="17" t="s">
        <v>142</v>
      </c>
    </row>
    <row r="30" spans="1:22" ht="38.25" x14ac:dyDescent="0.25">
      <c r="A30" s="22" t="s">
        <v>541</v>
      </c>
      <c r="B30" s="23" t="s">
        <v>214</v>
      </c>
      <c r="C30" s="22" t="s">
        <v>558</v>
      </c>
      <c r="D30" s="23">
        <v>3</v>
      </c>
      <c r="E30" s="22" t="s">
        <v>152</v>
      </c>
      <c r="F30" s="22" t="s">
        <v>559</v>
      </c>
      <c r="G30" s="22" t="s">
        <v>560</v>
      </c>
      <c r="H30" s="22" t="s">
        <v>561</v>
      </c>
      <c r="I30" s="22" t="s">
        <v>562</v>
      </c>
      <c r="J30" s="19" t="s">
        <v>136</v>
      </c>
      <c r="K30" s="19" t="s">
        <v>136</v>
      </c>
      <c r="L30" s="19" t="s">
        <v>136</v>
      </c>
      <c r="M30" s="17" t="s">
        <v>137</v>
      </c>
      <c r="N30" s="18" t="s">
        <v>137</v>
      </c>
      <c r="O30" s="20" t="s">
        <v>22</v>
      </c>
      <c r="P30" s="27" t="s">
        <v>54</v>
      </c>
      <c r="Q30" s="22" t="s">
        <v>563</v>
      </c>
      <c r="R30" s="22" t="s">
        <v>564</v>
      </c>
      <c r="S30" s="22" t="s">
        <v>565</v>
      </c>
      <c r="T30" s="22" t="s">
        <v>241</v>
      </c>
      <c r="U30" s="31" t="s">
        <v>54</v>
      </c>
      <c r="V30" s="22" t="s">
        <v>142</v>
      </c>
    </row>
    <row r="31" spans="1:22" ht="51" x14ac:dyDescent="0.25">
      <c r="A31" s="17" t="s">
        <v>541</v>
      </c>
      <c r="B31" s="18" t="s">
        <v>214</v>
      </c>
      <c r="C31" s="17" t="s">
        <v>80</v>
      </c>
      <c r="D31" s="18">
        <v>2</v>
      </c>
      <c r="E31" s="17" t="s">
        <v>152</v>
      </c>
      <c r="F31" s="17" t="s">
        <v>271</v>
      </c>
      <c r="G31" s="17" t="s">
        <v>272</v>
      </c>
      <c r="H31" s="17" t="s">
        <v>273</v>
      </c>
      <c r="I31" s="17" t="s">
        <v>274</v>
      </c>
      <c r="J31" s="19" t="s">
        <v>136</v>
      </c>
      <c r="K31" s="19" t="s">
        <v>136</v>
      </c>
      <c r="L31" s="19" t="s">
        <v>136</v>
      </c>
      <c r="M31" s="43" t="s">
        <v>955</v>
      </c>
      <c r="N31" s="44" t="s">
        <v>956</v>
      </c>
      <c r="O31" s="27" t="s">
        <v>20</v>
      </c>
      <c r="P31" s="24" t="s">
        <v>148</v>
      </c>
      <c r="Q31" s="17" t="s">
        <v>232</v>
      </c>
      <c r="R31" s="17" t="s">
        <v>79</v>
      </c>
      <c r="S31" s="17" t="s">
        <v>276</v>
      </c>
      <c r="T31" s="17" t="s">
        <v>234</v>
      </c>
      <c r="U31" s="30" t="s">
        <v>54</v>
      </c>
      <c r="V31" s="17" t="s">
        <v>142</v>
      </c>
    </row>
    <row r="32" spans="1:22" ht="25.5" x14ac:dyDescent="0.25">
      <c r="A32" s="22" t="s">
        <v>541</v>
      </c>
      <c r="B32" s="23" t="s">
        <v>214</v>
      </c>
      <c r="C32" s="22" t="s">
        <v>242</v>
      </c>
      <c r="D32" s="23">
        <v>2</v>
      </c>
      <c r="E32" s="22" t="s">
        <v>162</v>
      </c>
      <c r="F32" s="22" t="s">
        <v>163</v>
      </c>
      <c r="G32" s="22" t="s">
        <v>164</v>
      </c>
      <c r="H32" s="22" t="s">
        <v>165</v>
      </c>
      <c r="I32" s="22" t="s">
        <v>136</v>
      </c>
      <c r="J32" s="19" t="s">
        <v>136</v>
      </c>
      <c r="K32" s="19" t="s">
        <v>136</v>
      </c>
      <c r="L32" s="19" t="s">
        <v>136</v>
      </c>
      <c r="M32" s="22" t="s">
        <v>137</v>
      </c>
      <c r="N32" s="23" t="s">
        <v>137</v>
      </c>
      <c r="O32" s="20" t="s">
        <v>22</v>
      </c>
      <c r="P32" s="19" t="s">
        <v>136</v>
      </c>
      <c r="Q32" s="22" t="s">
        <v>138</v>
      </c>
      <c r="R32" s="22" t="s">
        <v>139</v>
      </c>
      <c r="S32" s="22" t="s">
        <v>166</v>
      </c>
      <c r="T32" s="22" t="s">
        <v>141</v>
      </c>
      <c r="U32" s="25" t="s">
        <v>136</v>
      </c>
      <c r="V32" s="22" t="s">
        <v>142</v>
      </c>
    </row>
    <row r="33" spans="1:22" ht="25.5" x14ac:dyDescent="0.25">
      <c r="A33" s="17" t="s">
        <v>541</v>
      </c>
      <c r="B33" s="18" t="s">
        <v>214</v>
      </c>
      <c r="C33" s="17" t="s">
        <v>243</v>
      </c>
      <c r="D33" s="18">
        <v>1</v>
      </c>
      <c r="E33" s="17" t="s">
        <v>162</v>
      </c>
      <c r="F33" s="17" t="s">
        <v>163</v>
      </c>
      <c r="G33" s="17" t="s">
        <v>164</v>
      </c>
      <c r="H33" s="17" t="s">
        <v>165</v>
      </c>
      <c r="I33" s="17" t="s">
        <v>136</v>
      </c>
      <c r="J33" s="19" t="s">
        <v>136</v>
      </c>
      <c r="K33" s="19" t="s">
        <v>136</v>
      </c>
      <c r="L33" s="19" t="s">
        <v>136</v>
      </c>
      <c r="M33" s="17" t="s">
        <v>137</v>
      </c>
      <c r="N33" s="18" t="s">
        <v>137</v>
      </c>
      <c r="O33" s="20" t="s">
        <v>22</v>
      </c>
      <c r="P33" s="19" t="s">
        <v>136</v>
      </c>
      <c r="Q33" s="17" t="s">
        <v>138</v>
      </c>
      <c r="R33" s="17" t="s">
        <v>139</v>
      </c>
      <c r="S33" s="17" t="s">
        <v>166</v>
      </c>
      <c r="T33" s="17" t="s">
        <v>141</v>
      </c>
      <c r="U33" s="21" t="s">
        <v>136</v>
      </c>
      <c r="V33" s="17" t="s">
        <v>142</v>
      </c>
    </row>
    <row r="34" spans="1:22" ht="25.5" x14ac:dyDescent="0.25">
      <c r="A34" s="22" t="s">
        <v>541</v>
      </c>
      <c r="B34" s="23" t="s">
        <v>214</v>
      </c>
      <c r="C34" s="22" t="s">
        <v>244</v>
      </c>
      <c r="D34" s="23">
        <v>2</v>
      </c>
      <c r="E34" s="22" t="s">
        <v>162</v>
      </c>
      <c r="F34" s="22" t="s">
        <v>176</v>
      </c>
      <c r="G34" s="22" t="s">
        <v>177</v>
      </c>
      <c r="H34" s="22" t="s">
        <v>178</v>
      </c>
      <c r="I34" s="22" t="s">
        <v>135</v>
      </c>
      <c r="J34" s="19" t="s">
        <v>136</v>
      </c>
      <c r="K34" s="19" t="s">
        <v>136</v>
      </c>
      <c r="L34" s="19" t="s">
        <v>136</v>
      </c>
      <c r="M34" s="22" t="s">
        <v>137</v>
      </c>
      <c r="N34" s="23" t="s">
        <v>137</v>
      </c>
      <c r="O34" s="20" t="s">
        <v>22</v>
      </c>
      <c r="P34" s="19" t="s">
        <v>136</v>
      </c>
      <c r="Q34" s="22" t="s">
        <v>138</v>
      </c>
      <c r="R34" s="22" t="s">
        <v>139</v>
      </c>
      <c r="S34" s="22" t="s">
        <v>179</v>
      </c>
      <c r="T34" s="22" t="s">
        <v>141</v>
      </c>
      <c r="U34" s="25" t="s">
        <v>136</v>
      </c>
      <c r="V34" s="22" t="s">
        <v>142</v>
      </c>
    </row>
    <row r="35" spans="1:22" ht="25.5" x14ac:dyDescent="0.25">
      <c r="A35" s="17" t="s">
        <v>541</v>
      </c>
      <c r="B35" s="18" t="s">
        <v>245</v>
      </c>
      <c r="C35" s="17" t="s">
        <v>200</v>
      </c>
      <c r="D35" s="18">
        <v>3</v>
      </c>
      <c r="E35" s="17" t="s">
        <v>131</v>
      </c>
      <c r="F35" s="17" t="s">
        <v>132</v>
      </c>
      <c r="G35" s="17" t="s">
        <v>133</v>
      </c>
      <c r="H35" s="17" t="s">
        <v>134</v>
      </c>
      <c r="I35" s="17" t="s">
        <v>135</v>
      </c>
      <c r="J35" s="19" t="s">
        <v>136</v>
      </c>
      <c r="K35" s="19" t="s">
        <v>136</v>
      </c>
      <c r="L35" s="19" t="s">
        <v>136</v>
      </c>
      <c r="M35" s="17" t="s">
        <v>137</v>
      </c>
      <c r="N35" s="18" t="s">
        <v>137</v>
      </c>
      <c r="O35" s="20" t="s">
        <v>22</v>
      </c>
      <c r="P35" s="19" t="s">
        <v>136</v>
      </c>
      <c r="Q35" s="17" t="s">
        <v>138</v>
      </c>
      <c r="R35" s="17" t="s">
        <v>139</v>
      </c>
      <c r="S35" s="17" t="s">
        <v>140</v>
      </c>
      <c r="T35" s="17" t="s">
        <v>141</v>
      </c>
      <c r="U35" s="21" t="s">
        <v>136</v>
      </c>
      <c r="V35" s="17" t="s">
        <v>142</v>
      </c>
    </row>
    <row r="36" spans="1:22" ht="25.5" x14ac:dyDescent="0.25">
      <c r="A36" s="22" t="s">
        <v>541</v>
      </c>
      <c r="B36" s="23" t="s">
        <v>245</v>
      </c>
      <c r="C36" s="22" t="s">
        <v>566</v>
      </c>
      <c r="D36" s="23">
        <v>3</v>
      </c>
      <c r="E36" s="22" t="s">
        <v>190</v>
      </c>
      <c r="F36" s="22" t="s">
        <v>144</v>
      </c>
      <c r="G36" s="22" t="s">
        <v>145</v>
      </c>
      <c r="H36" s="22" t="s">
        <v>146</v>
      </c>
      <c r="I36" s="22" t="s">
        <v>147</v>
      </c>
      <c r="J36" s="19" t="s">
        <v>136</v>
      </c>
      <c r="K36" s="19" t="s">
        <v>136</v>
      </c>
      <c r="L36" s="19" t="s">
        <v>136</v>
      </c>
      <c r="M36" s="22" t="s">
        <v>137</v>
      </c>
      <c r="N36" s="23" t="s">
        <v>137</v>
      </c>
      <c r="O36" s="20" t="s">
        <v>22</v>
      </c>
      <c r="P36" s="24" t="s">
        <v>148</v>
      </c>
      <c r="Q36" s="22" t="s">
        <v>149</v>
      </c>
      <c r="R36" s="22" t="s">
        <v>139</v>
      </c>
      <c r="S36" s="22" t="s">
        <v>150</v>
      </c>
      <c r="T36" s="22" t="s">
        <v>141</v>
      </c>
      <c r="U36" s="25" t="s">
        <v>136</v>
      </c>
      <c r="V36" s="22" t="s">
        <v>142</v>
      </c>
    </row>
    <row r="37" spans="1:22" ht="25.5" x14ac:dyDescent="0.25">
      <c r="A37" s="17" t="s">
        <v>541</v>
      </c>
      <c r="B37" s="18" t="s">
        <v>245</v>
      </c>
      <c r="C37" s="17" t="s">
        <v>567</v>
      </c>
      <c r="D37" s="18">
        <v>3</v>
      </c>
      <c r="E37" s="17" t="s">
        <v>190</v>
      </c>
      <c r="F37" s="17" t="s">
        <v>144</v>
      </c>
      <c r="G37" s="17" t="s">
        <v>145</v>
      </c>
      <c r="H37" s="17" t="s">
        <v>146</v>
      </c>
      <c r="I37" s="17" t="s">
        <v>147</v>
      </c>
      <c r="J37" s="19" t="s">
        <v>136</v>
      </c>
      <c r="K37" s="19" t="s">
        <v>136</v>
      </c>
      <c r="L37" s="19" t="s">
        <v>136</v>
      </c>
      <c r="M37" s="17" t="s">
        <v>137</v>
      </c>
      <c r="N37" s="18" t="s">
        <v>137</v>
      </c>
      <c r="O37" s="20" t="s">
        <v>22</v>
      </c>
      <c r="P37" s="24" t="s">
        <v>148</v>
      </c>
      <c r="Q37" s="17" t="s">
        <v>149</v>
      </c>
      <c r="R37" s="17" t="s">
        <v>139</v>
      </c>
      <c r="S37" s="17" t="s">
        <v>150</v>
      </c>
      <c r="T37" s="17" t="s">
        <v>141</v>
      </c>
      <c r="U37" s="21" t="s">
        <v>136</v>
      </c>
      <c r="V37" s="17" t="s">
        <v>142</v>
      </c>
    </row>
    <row r="38" spans="1:22" ht="25.5" x14ac:dyDescent="0.25">
      <c r="A38" s="22" t="s">
        <v>541</v>
      </c>
      <c r="B38" s="23" t="s">
        <v>245</v>
      </c>
      <c r="C38" s="22" t="s">
        <v>568</v>
      </c>
      <c r="D38" s="23">
        <v>3</v>
      </c>
      <c r="E38" s="22" t="s">
        <v>152</v>
      </c>
      <c r="F38" s="22" t="s">
        <v>569</v>
      </c>
      <c r="G38" s="22" t="s">
        <v>570</v>
      </c>
      <c r="H38" s="22" t="s">
        <v>571</v>
      </c>
      <c r="I38" s="22" t="s">
        <v>572</v>
      </c>
      <c r="J38" s="19" t="s">
        <v>136</v>
      </c>
      <c r="K38" s="19" t="s">
        <v>136</v>
      </c>
      <c r="L38" s="19" t="s">
        <v>136</v>
      </c>
      <c r="M38" s="22" t="s">
        <v>137</v>
      </c>
      <c r="N38" s="23" t="s">
        <v>137</v>
      </c>
      <c r="O38" s="20" t="s">
        <v>22</v>
      </c>
      <c r="P38" s="27" t="s">
        <v>54</v>
      </c>
      <c r="Q38" s="22" t="s">
        <v>573</v>
      </c>
      <c r="R38" s="22" t="s">
        <v>121</v>
      </c>
      <c r="S38" s="22" t="s">
        <v>574</v>
      </c>
      <c r="T38" s="22" t="s">
        <v>210</v>
      </c>
      <c r="U38" s="28" t="s">
        <v>148</v>
      </c>
      <c r="V38" s="22" t="s">
        <v>142</v>
      </c>
    </row>
    <row r="39" spans="1:22" ht="25.5" x14ac:dyDescent="0.25">
      <c r="A39" s="17" t="s">
        <v>541</v>
      </c>
      <c r="B39" s="18" t="s">
        <v>245</v>
      </c>
      <c r="C39" s="17" t="s">
        <v>575</v>
      </c>
      <c r="D39" s="18">
        <v>2</v>
      </c>
      <c r="E39" s="17" t="s">
        <v>152</v>
      </c>
      <c r="F39" s="17" t="s">
        <v>576</v>
      </c>
      <c r="G39" s="17" t="s">
        <v>577</v>
      </c>
      <c r="H39" s="17" t="s">
        <v>578</v>
      </c>
      <c r="I39" s="17" t="s">
        <v>579</v>
      </c>
      <c r="J39" s="19" t="s">
        <v>136</v>
      </c>
      <c r="K39" s="19" t="s">
        <v>136</v>
      </c>
      <c r="L39" s="19" t="s">
        <v>136</v>
      </c>
      <c r="M39" s="17" t="s">
        <v>137</v>
      </c>
      <c r="N39" s="18" t="s">
        <v>137</v>
      </c>
      <c r="O39" s="20" t="s">
        <v>22</v>
      </c>
      <c r="P39" s="27" t="s">
        <v>54</v>
      </c>
      <c r="Q39" s="17" t="s">
        <v>580</v>
      </c>
      <c r="R39" s="17" t="s">
        <v>581</v>
      </c>
      <c r="S39" s="17" t="s">
        <v>582</v>
      </c>
      <c r="T39" s="17" t="s">
        <v>210</v>
      </c>
      <c r="U39" s="26" t="s">
        <v>148</v>
      </c>
      <c r="V39" s="17" t="s">
        <v>142</v>
      </c>
    </row>
    <row r="40" spans="1:22" ht="38.25" x14ac:dyDescent="0.25">
      <c r="A40" s="22" t="s">
        <v>541</v>
      </c>
      <c r="B40" s="23" t="s">
        <v>245</v>
      </c>
      <c r="C40" s="22" t="s">
        <v>63</v>
      </c>
      <c r="D40" s="23">
        <v>3</v>
      </c>
      <c r="E40" s="22" t="s">
        <v>152</v>
      </c>
      <c r="F40" s="22" t="s">
        <v>277</v>
      </c>
      <c r="G40" s="22" t="s">
        <v>278</v>
      </c>
      <c r="H40" s="22" t="s">
        <v>279</v>
      </c>
      <c r="I40" s="22" t="s">
        <v>280</v>
      </c>
      <c r="J40" s="19" t="s">
        <v>136</v>
      </c>
      <c r="K40" s="19" t="s">
        <v>136</v>
      </c>
      <c r="L40" s="19" t="s">
        <v>136</v>
      </c>
      <c r="M40" s="17" t="s">
        <v>137</v>
      </c>
      <c r="N40" s="18" t="s">
        <v>137</v>
      </c>
      <c r="O40" s="20" t="s">
        <v>22</v>
      </c>
      <c r="P40" s="24" t="s">
        <v>148</v>
      </c>
      <c r="Q40" s="22" t="s">
        <v>232</v>
      </c>
      <c r="R40" s="22" t="s">
        <v>64</v>
      </c>
      <c r="S40" s="22" t="s">
        <v>282</v>
      </c>
      <c r="T40" s="22" t="s">
        <v>234</v>
      </c>
      <c r="U40" s="31" t="s">
        <v>54</v>
      </c>
      <c r="V40" s="22" t="s">
        <v>142</v>
      </c>
    </row>
    <row r="41" spans="1:22" ht="25.5" x14ac:dyDescent="0.25">
      <c r="A41" s="17" t="s">
        <v>541</v>
      </c>
      <c r="B41" s="18" t="s">
        <v>245</v>
      </c>
      <c r="C41" s="17" t="s">
        <v>284</v>
      </c>
      <c r="D41" s="18">
        <v>2</v>
      </c>
      <c r="E41" s="17" t="s">
        <v>162</v>
      </c>
      <c r="F41" s="17" t="s">
        <v>176</v>
      </c>
      <c r="G41" s="17" t="s">
        <v>177</v>
      </c>
      <c r="H41" s="17" t="s">
        <v>178</v>
      </c>
      <c r="I41" s="17" t="s">
        <v>135</v>
      </c>
      <c r="J41" s="19" t="s">
        <v>136</v>
      </c>
      <c r="K41" s="19" t="s">
        <v>136</v>
      </c>
      <c r="L41" s="19" t="s">
        <v>136</v>
      </c>
      <c r="M41" s="17" t="s">
        <v>137</v>
      </c>
      <c r="N41" s="18" t="s">
        <v>137</v>
      </c>
      <c r="O41" s="20" t="s">
        <v>22</v>
      </c>
      <c r="P41" s="19" t="s">
        <v>136</v>
      </c>
      <c r="Q41" s="17" t="s">
        <v>138</v>
      </c>
      <c r="R41" s="17" t="s">
        <v>139</v>
      </c>
      <c r="S41" s="17" t="s">
        <v>179</v>
      </c>
      <c r="T41" s="17" t="s">
        <v>141</v>
      </c>
      <c r="U41" s="21" t="s">
        <v>136</v>
      </c>
      <c r="V41" s="17" t="s">
        <v>142</v>
      </c>
    </row>
    <row r="42" spans="1:22" ht="25.5" x14ac:dyDescent="0.25">
      <c r="A42" s="22" t="s">
        <v>541</v>
      </c>
      <c r="B42" s="23" t="s">
        <v>285</v>
      </c>
      <c r="C42" s="22" t="s">
        <v>583</v>
      </c>
      <c r="D42" s="23">
        <v>2</v>
      </c>
      <c r="E42" s="22" t="s">
        <v>190</v>
      </c>
      <c r="F42" s="22" t="s">
        <v>132</v>
      </c>
      <c r="G42" s="22" t="s">
        <v>133</v>
      </c>
      <c r="H42" s="22" t="s">
        <v>134</v>
      </c>
      <c r="I42" s="22" t="s">
        <v>135</v>
      </c>
      <c r="J42" s="19" t="s">
        <v>136</v>
      </c>
      <c r="K42" s="19" t="s">
        <v>136</v>
      </c>
      <c r="L42" s="19" t="s">
        <v>136</v>
      </c>
      <c r="M42" s="22" t="s">
        <v>137</v>
      </c>
      <c r="N42" s="23" t="s">
        <v>137</v>
      </c>
      <c r="O42" s="20" t="s">
        <v>22</v>
      </c>
      <c r="P42" s="19" t="s">
        <v>136</v>
      </c>
      <c r="Q42" s="22" t="s">
        <v>138</v>
      </c>
      <c r="R42" s="22" t="s">
        <v>139</v>
      </c>
      <c r="S42" s="22" t="s">
        <v>140</v>
      </c>
      <c r="T42" s="22" t="s">
        <v>141</v>
      </c>
      <c r="U42" s="25" t="s">
        <v>136</v>
      </c>
      <c r="V42" s="22" t="s">
        <v>142</v>
      </c>
    </row>
    <row r="43" spans="1:22" ht="38.25" x14ac:dyDescent="0.25">
      <c r="A43" s="17" t="s">
        <v>541</v>
      </c>
      <c r="B43" s="18" t="s">
        <v>285</v>
      </c>
      <c r="C43" s="17" t="s">
        <v>246</v>
      </c>
      <c r="D43" s="18">
        <v>3</v>
      </c>
      <c r="E43" s="17" t="s">
        <v>190</v>
      </c>
      <c r="F43" s="17" t="s">
        <v>247</v>
      </c>
      <c r="G43" s="17" t="s">
        <v>248</v>
      </c>
      <c r="H43" s="17" t="s">
        <v>249</v>
      </c>
      <c r="I43" s="17" t="s">
        <v>250</v>
      </c>
      <c r="J43" s="19" t="s">
        <v>136</v>
      </c>
      <c r="K43" s="19" t="s">
        <v>136</v>
      </c>
      <c r="L43" s="19" t="s">
        <v>136</v>
      </c>
      <c r="M43" s="22" t="s">
        <v>137</v>
      </c>
      <c r="N43" s="23" t="s">
        <v>137</v>
      </c>
      <c r="O43" s="20" t="s">
        <v>22</v>
      </c>
      <c r="P43" s="27" t="s">
        <v>54</v>
      </c>
      <c r="Q43" s="17" t="s">
        <v>251</v>
      </c>
      <c r="R43" s="17" t="s">
        <v>252</v>
      </c>
      <c r="S43" s="17" t="s">
        <v>253</v>
      </c>
      <c r="T43" s="17" t="s">
        <v>241</v>
      </c>
      <c r="U43" s="26" t="s">
        <v>148</v>
      </c>
      <c r="V43" s="17" t="s">
        <v>142</v>
      </c>
    </row>
    <row r="44" spans="1:22" ht="25.5" x14ac:dyDescent="0.25">
      <c r="A44" s="22" t="s">
        <v>541</v>
      </c>
      <c r="B44" s="23" t="s">
        <v>285</v>
      </c>
      <c r="C44" s="22" t="s">
        <v>584</v>
      </c>
      <c r="D44" s="23">
        <v>3</v>
      </c>
      <c r="E44" s="22" t="s">
        <v>190</v>
      </c>
      <c r="F44" s="22" t="s">
        <v>144</v>
      </c>
      <c r="G44" s="22" t="s">
        <v>145</v>
      </c>
      <c r="H44" s="22" t="s">
        <v>146</v>
      </c>
      <c r="I44" s="22" t="s">
        <v>147</v>
      </c>
      <c r="J44" s="19" t="s">
        <v>136</v>
      </c>
      <c r="K44" s="19" t="s">
        <v>136</v>
      </c>
      <c r="L44" s="19" t="s">
        <v>136</v>
      </c>
      <c r="M44" s="22" t="s">
        <v>137</v>
      </c>
      <c r="N44" s="23" t="s">
        <v>137</v>
      </c>
      <c r="O44" s="20" t="s">
        <v>22</v>
      </c>
      <c r="P44" s="24" t="s">
        <v>148</v>
      </c>
      <c r="Q44" s="22" t="s">
        <v>149</v>
      </c>
      <c r="R44" s="22" t="s">
        <v>139</v>
      </c>
      <c r="S44" s="22" t="s">
        <v>150</v>
      </c>
      <c r="T44" s="22" t="s">
        <v>141</v>
      </c>
      <c r="U44" s="25" t="s">
        <v>136</v>
      </c>
      <c r="V44" s="22" t="s">
        <v>142</v>
      </c>
    </row>
    <row r="45" spans="1:22" ht="38.25" x14ac:dyDescent="0.25">
      <c r="A45" s="17" t="s">
        <v>541</v>
      </c>
      <c r="B45" s="18" t="s">
        <v>285</v>
      </c>
      <c r="C45" s="17" t="s">
        <v>585</v>
      </c>
      <c r="D45" s="18">
        <v>2</v>
      </c>
      <c r="E45" s="17" t="s">
        <v>152</v>
      </c>
      <c r="F45" s="17" t="s">
        <v>358</v>
      </c>
      <c r="G45" s="17" t="s">
        <v>359</v>
      </c>
      <c r="H45" s="17" t="s">
        <v>360</v>
      </c>
      <c r="I45" s="17" t="s">
        <v>361</v>
      </c>
      <c r="J45" s="19" t="s">
        <v>136</v>
      </c>
      <c r="K45" s="19" t="s">
        <v>136</v>
      </c>
      <c r="L45" s="19" t="s">
        <v>136</v>
      </c>
      <c r="M45" s="22" t="s">
        <v>137</v>
      </c>
      <c r="N45" s="23" t="s">
        <v>137</v>
      </c>
      <c r="O45" s="20" t="s">
        <v>22</v>
      </c>
      <c r="P45" s="24" t="s">
        <v>148</v>
      </c>
      <c r="Q45" s="17" t="s">
        <v>157</v>
      </c>
      <c r="R45" s="17" t="s">
        <v>28</v>
      </c>
      <c r="S45" s="17" t="s">
        <v>362</v>
      </c>
      <c r="T45" s="17" t="s">
        <v>234</v>
      </c>
      <c r="U45" s="30" t="s">
        <v>54</v>
      </c>
      <c r="V45" s="17" t="s">
        <v>142</v>
      </c>
    </row>
    <row r="46" spans="1:22" ht="25.5" x14ac:dyDescent="0.25">
      <c r="A46" s="22" t="s">
        <v>541</v>
      </c>
      <c r="B46" s="23" t="s">
        <v>285</v>
      </c>
      <c r="C46" s="22" t="s">
        <v>586</v>
      </c>
      <c r="D46" s="23">
        <v>3</v>
      </c>
      <c r="E46" s="22" t="s">
        <v>152</v>
      </c>
      <c r="F46" s="22" t="s">
        <v>576</v>
      </c>
      <c r="G46" s="22" t="s">
        <v>577</v>
      </c>
      <c r="H46" s="22" t="s">
        <v>578</v>
      </c>
      <c r="I46" s="22" t="s">
        <v>579</v>
      </c>
      <c r="J46" s="19" t="s">
        <v>136</v>
      </c>
      <c r="K46" s="19" t="s">
        <v>136</v>
      </c>
      <c r="L46" s="19" t="s">
        <v>136</v>
      </c>
      <c r="M46" s="22" t="s">
        <v>137</v>
      </c>
      <c r="N46" s="23" t="s">
        <v>137</v>
      </c>
      <c r="O46" s="20" t="s">
        <v>22</v>
      </c>
      <c r="P46" s="27" t="s">
        <v>54</v>
      </c>
      <c r="Q46" s="22" t="s">
        <v>580</v>
      </c>
      <c r="R46" s="22" t="s">
        <v>581</v>
      </c>
      <c r="S46" s="22" t="s">
        <v>582</v>
      </c>
      <c r="T46" s="22" t="s">
        <v>210</v>
      </c>
      <c r="U46" s="28" t="s">
        <v>148</v>
      </c>
      <c r="V46" s="22" t="s">
        <v>142</v>
      </c>
    </row>
    <row r="47" spans="1:22" ht="51" x14ac:dyDescent="0.25">
      <c r="A47" s="17" t="s">
        <v>541</v>
      </c>
      <c r="B47" s="18" t="s">
        <v>285</v>
      </c>
      <c r="C47" s="17" t="s">
        <v>57</v>
      </c>
      <c r="D47" s="18">
        <v>3</v>
      </c>
      <c r="E47" s="17" t="s">
        <v>152</v>
      </c>
      <c r="F47" s="17" t="s">
        <v>308</v>
      </c>
      <c r="G47" s="17" t="s">
        <v>309</v>
      </c>
      <c r="H47" s="17" t="s">
        <v>310</v>
      </c>
      <c r="I47" s="17" t="s">
        <v>311</v>
      </c>
      <c r="J47" s="19" t="s">
        <v>136</v>
      </c>
      <c r="K47" s="19" t="s">
        <v>136</v>
      </c>
      <c r="L47" s="27" t="s">
        <v>54</v>
      </c>
      <c r="M47" s="22" t="s">
        <v>137</v>
      </c>
      <c r="N47" s="23" t="s">
        <v>137</v>
      </c>
      <c r="O47" s="20" t="s">
        <v>22</v>
      </c>
      <c r="P47" s="19" t="s">
        <v>136</v>
      </c>
      <c r="Q47" s="17" t="s">
        <v>313</v>
      </c>
      <c r="R47" s="17" t="s">
        <v>28</v>
      </c>
      <c r="S47" s="17" t="s">
        <v>314</v>
      </c>
      <c r="T47" s="17" t="s">
        <v>234</v>
      </c>
      <c r="U47" s="30" t="s">
        <v>54</v>
      </c>
      <c r="V47" s="17" t="s">
        <v>142</v>
      </c>
    </row>
    <row r="48" spans="1:22" ht="25.5" x14ac:dyDescent="0.25">
      <c r="A48" s="22" t="s">
        <v>541</v>
      </c>
      <c r="B48" s="23" t="s">
        <v>285</v>
      </c>
      <c r="C48" s="22" t="s">
        <v>330</v>
      </c>
      <c r="D48" s="23">
        <v>2</v>
      </c>
      <c r="E48" s="22" t="s">
        <v>162</v>
      </c>
      <c r="F48" s="22" t="s">
        <v>176</v>
      </c>
      <c r="G48" s="22" t="s">
        <v>177</v>
      </c>
      <c r="H48" s="22" t="s">
        <v>178</v>
      </c>
      <c r="I48" s="22" t="s">
        <v>135</v>
      </c>
      <c r="J48" s="19" t="s">
        <v>136</v>
      </c>
      <c r="K48" s="19" t="s">
        <v>136</v>
      </c>
      <c r="L48" s="19" t="s">
        <v>136</v>
      </c>
      <c r="M48" s="22" t="s">
        <v>137</v>
      </c>
      <c r="N48" s="23" t="s">
        <v>137</v>
      </c>
      <c r="O48" s="20" t="s">
        <v>22</v>
      </c>
      <c r="P48" s="19" t="s">
        <v>136</v>
      </c>
      <c r="Q48" s="22" t="s">
        <v>138</v>
      </c>
      <c r="R48" s="22" t="s">
        <v>139</v>
      </c>
      <c r="S48" s="22" t="s">
        <v>179</v>
      </c>
      <c r="T48" s="22" t="s">
        <v>141</v>
      </c>
      <c r="U48" s="25" t="s">
        <v>136</v>
      </c>
      <c r="V48" s="22" t="s">
        <v>142</v>
      </c>
    </row>
    <row r="49" spans="1:22" ht="38.25" x14ac:dyDescent="0.25">
      <c r="A49" s="17" t="s">
        <v>541</v>
      </c>
      <c r="B49" s="18" t="s">
        <v>331</v>
      </c>
      <c r="C49" s="17" t="s">
        <v>587</v>
      </c>
      <c r="D49" s="18">
        <v>3</v>
      </c>
      <c r="E49" s="17" t="s">
        <v>152</v>
      </c>
      <c r="F49" s="17" t="s">
        <v>358</v>
      </c>
      <c r="G49" s="17" t="s">
        <v>359</v>
      </c>
      <c r="H49" s="17" t="s">
        <v>360</v>
      </c>
      <c r="I49" s="17" t="s">
        <v>361</v>
      </c>
      <c r="J49" s="19" t="s">
        <v>136</v>
      </c>
      <c r="K49" s="19" t="s">
        <v>136</v>
      </c>
      <c r="L49" s="19" t="s">
        <v>136</v>
      </c>
      <c r="M49" s="22" t="s">
        <v>137</v>
      </c>
      <c r="N49" s="23" t="s">
        <v>137</v>
      </c>
      <c r="O49" s="20" t="s">
        <v>22</v>
      </c>
      <c r="P49" s="24" t="s">
        <v>148</v>
      </c>
      <c r="Q49" s="17" t="s">
        <v>157</v>
      </c>
      <c r="R49" s="17" t="s">
        <v>28</v>
      </c>
      <c r="S49" s="17" t="s">
        <v>362</v>
      </c>
      <c r="T49" s="17" t="s">
        <v>234</v>
      </c>
      <c r="U49" s="30" t="s">
        <v>54</v>
      </c>
      <c r="V49" s="17" t="s">
        <v>142</v>
      </c>
    </row>
    <row r="50" spans="1:22" ht="38.25" x14ac:dyDescent="0.25">
      <c r="A50" s="22" t="s">
        <v>541</v>
      </c>
      <c r="B50" s="23" t="s">
        <v>331</v>
      </c>
      <c r="C50" s="22" t="s">
        <v>340</v>
      </c>
      <c r="D50" s="23">
        <v>2</v>
      </c>
      <c r="E50" s="22" t="s">
        <v>152</v>
      </c>
      <c r="F50" s="22" t="s">
        <v>341</v>
      </c>
      <c r="G50" s="22" t="s">
        <v>342</v>
      </c>
      <c r="H50" s="22" t="s">
        <v>343</v>
      </c>
      <c r="I50" s="22" t="s">
        <v>344</v>
      </c>
      <c r="J50" s="19" t="s">
        <v>136</v>
      </c>
      <c r="K50" s="19" t="s">
        <v>136</v>
      </c>
      <c r="L50" s="19" t="s">
        <v>136</v>
      </c>
      <c r="M50" s="22" t="s">
        <v>137</v>
      </c>
      <c r="N50" s="23" t="s">
        <v>137</v>
      </c>
      <c r="O50" s="20" t="s">
        <v>22</v>
      </c>
      <c r="P50" s="27" t="s">
        <v>54</v>
      </c>
      <c r="Q50" s="22" t="s">
        <v>346</v>
      </c>
      <c r="R50" s="22" t="s">
        <v>347</v>
      </c>
      <c r="S50" s="22" t="s">
        <v>348</v>
      </c>
      <c r="T50" s="22" t="s">
        <v>241</v>
      </c>
      <c r="U50" s="28" t="s">
        <v>148</v>
      </c>
      <c r="V50" s="22" t="s">
        <v>142</v>
      </c>
    </row>
    <row r="51" spans="1:22" ht="25.5" x14ac:dyDescent="0.25">
      <c r="A51" s="17" t="s">
        <v>541</v>
      </c>
      <c r="B51" s="18" t="s">
        <v>331</v>
      </c>
      <c r="C51" s="17" t="s">
        <v>588</v>
      </c>
      <c r="D51" s="18">
        <v>3</v>
      </c>
      <c r="E51" s="17" t="s">
        <v>152</v>
      </c>
      <c r="F51" s="17" t="s">
        <v>576</v>
      </c>
      <c r="G51" s="17" t="s">
        <v>577</v>
      </c>
      <c r="H51" s="17" t="s">
        <v>578</v>
      </c>
      <c r="I51" s="17" t="s">
        <v>579</v>
      </c>
      <c r="J51" s="19" t="s">
        <v>136</v>
      </c>
      <c r="K51" s="19" t="s">
        <v>136</v>
      </c>
      <c r="L51" s="19" t="s">
        <v>136</v>
      </c>
      <c r="M51" s="17" t="s">
        <v>137</v>
      </c>
      <c r="N51" s="18" t="s">
        <v>137</v>
      </c>
      <c r="O51" s="20" t="s">
        <v>22</v>
      </c>
      <c r="P51" s="27" t="s">
        <v>54</v>
      </c>
      <c r="Q51" s="17" t="s">
        <v>580</v>
      </c>
      <c r="R51" s="17" t="s">
        <v>581</v>
      </c>
      <c r="S51" s="17" t="s">
        <v>582</v>
      </c>
      <c r="T51" s="17" t="s">
        <v>210</v>
      </c>
      <c r="U51" s="26" t="s">
        <v>148</v>
      </c>
      <c r="V51" s="17" t="s">
        <v>142</v>
      </c>
    </row>
    <row r="52" spans="1:22" ht="38.25" x14ac:dyDescent="0.25">
      <c r="A52" s="22" t="s">
        <v>541</v>
      </c>
      <c r="B52" s="23" t="s">
        <v>331</v>
      </c>
      <c r="C52" s="22" t="s">
        <v>356</v>
      </c>
      <c r="D52" s="23">
        <v>3</v>
      </c>
      <c r="E52" s="22" t="s">
        <v>152</v>
      </c>
      <c r="F52" s="22" t="s">
        <v>216</v>
      </c>
      <c r="G52" s="22" t="s">
        <v>217</v>
      </c>
      <c r="H52" s="22" t="s">
        <v>217</v>
      </c>
      <c r="I52" s="22" t="s">
        <v>218</v>
      </c>
      <c r="J52" s="29" t="s">
        <v>219</v>
      </c>
      <c r="K52" s="29" t="s">
        <v>219</v>
      </c>
      <c r="L52" s="29" t="s">
        <v>219</v>
      </c>
      <c r="M52" s="22" t="s">
        <v>220</v>
      </c>
      <c r="N52" s="23" t="s">
        <v>137</v>
      </c>
      <c r="O52" s="29" t="s">
        <v>23</v>
      </c>
      <c r="P52" s="29" t="s">
        <v>219</v>
      </c>
      <c r="Q52" s="22" t="s">
        <v>221</v>
      </c>
      <c r="R52" s="22" t="s">
        <v>222</v>
      </c>
      <c r="S52" s="22" t="s">
        <v>223</v>
      </c>
      <c r="T52" s="22" t="s">
        <v>224</v>
      </c>
      <c r="U52" s="28" t="s">
        <v>148</v>
      </c>
      <c r="V52" s="22" t="s">
        <v>217</v>
      </c>
    </row>
    <row r="53" spans="1:22" ht="25.5" x14ac:dyDescent="0.25">
      <c r="A53" s="17" t="s">
        <v>541</v>
      </c>
      <c r="B53" s="18" t="s">
        <v>331</v>
      </c>
      <c r="C53" s="17" t="s">
        <v>283</v>
      </c>
      <c r="D53" s="18">
        <v>2</v>
      </c>
      <c r="E53" s="17" t="s">
        <v>162</v>
      </c>
      <c r="F53" s="17" t="s">
        <v>163</v>
      </c>
      <c r="G53" s="17" t="s">
        <v>164</v>
      </c>
      <c r="H53" s="17" t="s">
        <v>165</v>
      </c>
      <c r="I53" s="17" t="s">
        <v>136</v>
      </c>
      <c r="J53" s="19" t="s">
        <v>136</v>
      </c>
      <c r="K53" s="19" t="s">
        <v>136</v>
      </c>
      <c r="L53" s="19" t="s">
        <v>136</v>
      </c>
      <c r="M53" s="17" t="s">
        <v>137</v>
      </c>
      <c r="N53" s="18" t="s">
        <v>137</v>
      </c>
      <c r="O53" s="20" t="s">
        <v>22</v>
      </c>
      <c r="P53" s="19" t="s">
        <v>136</v>
      </c>
      <c r="Q53" s="17" t="s">
        <v>138</v>
      </c>
      <c r="R53" s="17" t="s">
        <v>139</v>
      </c>
      <c r="S53" s="17" t="s">
        <v>166</v>
      </c>
      <c r="T53" s="17" t="s">
        <v>141</v>
      </c>
      <c r="U53" s="21" t="s">
        <v>136</v>
      </c>
      <c r="V53" s="17" t="s">
        <v>142</v>
      </c>
    </row>
    <row r="54" spans="1:22" ht="25.5" x14ac:dyDescent="0.25">
      <c r="A54" s="22" t="s">
        <v>541</v>
      </c>
      <c r="B54" s="23" t="s">
        <v>331</v>
      </c>
      <c r="C54" s="22" t="s">
        <v>589</v>
      </c>
      <c r="D54" s="23">
        <v>1</v>
      </c>
      <c r="E54" s="22" t="s">
        <v>162</v>
      </c>
      <c r="F54" s="22" t="s">
        <v>169</v>
      </c>
      <c r="G54" s="22" t="s">
        <v>170</v>
      </c>
      <c r="H54" s="22" t="s">
        <v>171</v>
      </c>
      <c r="I54" s="22" t="s">
        <v>135</v>
      </c>
      <c r="J54" s="19" t="s">
        <v>136</v>
      </c>
      <c r="K54" s="19" t="s">
        <v>136</v>
      </c>
      <c r="L54" s="19" t="s">
        <v>136</v>
      </c>
      <c r="M54" s="22" t="s">
        <v>137</v>
      </c>
      <c r="N54" s="23" t="s">
        <v>137</v>
      </c>
      <c r="O54" s="20" t="s">
        <v>22</v>
      </c>
      <c r="P54" s="19" t="s">
        <v>136</v>
      </c>
      <c r="Q54" s="22" t="s">
        <v>138</v>
      </c>
      <c r="R54" s="22" t="s">
        <v>139</v>
      </c>
      <c r="S54" s="22" t="s">
        <v>172</v>
      </c>
      <c r="T54" s="22" t="s">
        <v>141</v>
      </c>
      <c r="U54" s="25" t="s">
        <v>136</v>
      </c>
      <c r="V54" s="22" t="s">
        <v>142</v>
      </c>
    </row>
    <row r="55" spans="1:22" ht="25.5" x14ac:dyDescent="0.25">
      <c r="A55" s="17" t="s">
        <v>541</v>
      </c>
      <c r="B55" s="18" t="s">
        <v>331</v>
      </c>
      <c r="C55" s="17" t="s">
        <v>590</v>
      </c>
      <c r="D55" s="18">
        <v>1</v>
      </c>
      <c r="E55" s="17" t="s">
        <v>162</v>
      </c>
      <c r="F55" s="17" t="s">
        <v>169</v>
      </c>
      <c r="G55" s="17" t="s">
        <v>170</v>
      </c>
      <c r="H55" s="17" t="s">
        <v>171</v>
      </c>
      <c r="I55" s="17" t="s">
        <v>135</v>
      </c>
      <c r="J55" s="19" t="s">
        <v>136</v>
      </c>
      <c r="K55" s="19" t="s">
        <v>136</v>
      </c>
      <c r="L55" s="19" t="s">
        <v>136</v>
      </c>
      <c r="M55" s="17" t="s">
        <v>137</v>
      </c>
      <c r="N55" s="18" t="s">
        <v>137</v>
      </c>
      <c r="O55" s="20" t="s">
        <v>22</v>
      </c>
      <c r="P55" s="19" t="s">
        <v>136</v>
      </c>
      <c r="Q55" s="17" t="s">
        <v>138</v>
      </c>
      <c r="R55" s="17" t="s">
        <v>139</v>
      </c>
      <c r="S55" s="17" t="s">
        <v>172</v>
      </c>
      <c r="T55" s="17" t="s">
        <v>141</v>
      </c>
      <c r="U55" s="21" t="s">
        <v>136</v>
      </c>
      <c r="V55" s="17" t="s">
        <v>142</v>
      </c>
    </row>
    <row r="56" spans="1:22" ht="25.5" x14ac:dyDescent="0.25">
      <c r="A56" s="22" t="s">
        <v>541</v>
      </c>
      <c r="B56" s="23" t="s">
        <v>331</v>
      </c>
      <c r="C56" s="22" t="s">
        <v>363</v>
      </c>
      <c r="D56" s="23">
        <v>2</v>
      </c>
      <c r="E56" s="22" t="s">
        <v>162</v>
      </c>
      <c r="F56" s="22" t="s">
        <v>176</v>
      </c>
      <c r="G56" s="22" t="s">
        <v>177</v>
      </c>
      <c r="H56" s="22" t="s">
        <v>178</v>
      </c>
      <c r="I56" s="22" t="s">
        <v>135</v>
      </c>
      <c r="J56" s="19" t="s">
        <v>136</v>
      </c>
      <c r="K56" s="19" t="s">
        <v>136</v>
      </c>
      <c r="L56" s="19" t="s">
        <v>136</v>
      </c>
      <c r="M56" s="22" t="s">
        <v>137</v>
      </c>
      <c r="N56" s="23" t="s">
        <v>137</v>
      </c>
      <c r="O56" s="20" t="s">
        <v>22</v>
      </c>
      <c r="P56" s="19" t="s">
        <v>136</v>
      </c>
      <c r="Q56" s="22" t="s">
        <v>138</v>
      </c>
      <c r="R56" s="22" t="s">
        <v>139</v>
      </c>
      <c r="S56" s="22" t="s">
        <v>179</v>
      </c>
      <c r="T56" s="22" t="s">
        <v>141</v>
      </c>
      <c r="U56" s="25" t="s">
        <v>136</v>
      </c>
      <c r="V56" s="22" t="s">
        <v>142</v>
      </c>
    </row>
    <row r="57" spans="1:22" ht="38.25" x14ac:dyDescent="0.25">
      <c r="A57" s="17" t="s">
        <v>541</v>
      </c>
      <c r="B57" s="18" t="s">
        <v>364</v>
      </c>
      <c r="C57" s="17" t="s">
        <v>349</v>
      </c>
      <c r="D57" s="18">
        <v>6</v>
      </c>
      <c r="E57" s="17" t="s">
        <v>152</v>
      </c>
      <c r="F57" s="17" t="s">
        <v>350</v>
      </c>
      <c r="G57" s="17" t="s">
        <v>351</v>
      </c>
      <c r="H57" s="17" t="s">
        <v>352</v>
      </c>
      <c r="I57" s="17" t="s">
        <v>353</v>
      </c>
      <c r="J57" s="19" t="s">
        <v>136</v>
      </c>
      <c r="K57" s="19" t="s">
        <v>136</v>
      </c>
      <c r="L57" s="19" t="s">
        <v>136</v>
      </c>
      <c r="M57" s="22" t="s">
        <v>137</v>
      </c>
      <c r="N57" s="23" t="s">
        <v>137</v>
      </c>
      <c r="O57" s="20" t="s">
        <v>22</v>
      </c>
      <c r="P57" s="19" t="s">
        <v>136</v>
      </c>
      <c r="Q57" s="17" t="s">
        <v>157</v>
      </c>
      <c r="R57" s="17" t="s">
        <v>354</v>
      </c>
      <c r="S57" s="17" t="s">
        <v>355</v>
      </c>
      <c r="T57" s="17" t="s">
        <v>160</v>
      </c>
      <c r="U57" s="26" t="s">
        <v>148</v>
      </c>
      <c r="V57" s="17" t="s">
        <v>142</v>
      </c>
    </row>
    <row r="58" spans="1:22" ht="38.25" x14ac:dyDescent="0.25">
      <c r="A58" s="22" t="s">
        <v>541</v>
      </c>
      <c r="B58" s="23" t="s">
        <v>364</v>
      </c>
      <c r="C58" s="22" t="s">
        <v>365</v>
      </c>
      <c r="D58" s="23">
        <v>2</v>
      </c>
      <c r="E58" s="22" t="s">
        <v>152</v>
      </c>
      <c r="F58" s="22" t="s">
        <v>216</v>
      </c>
      <c r="G58" s="22" t="s">
        <v>217</v>
      </c>
      <c r="H58" s="22" t="s">
        <v>217</v>
      </c>
      <c r="I58" s="22" t="s">
        <v>218</v>
      </c>
      <c r="J58" s="29" t="s">
        <v>219</v>
      </c>
      <c r="K58" s="29" t="s">
        <v>219</v>
      </c>
      <c r="L58" s="29" t="s">
        <v>219</v>
      </c>
      <c r="M58" s="22" t="s">
        <v>220</v>
      </c>
      <c r="N58" s="23" t="s">
        <v>137</v>
      </c>
      <c r="O58" s="29" t="s">
        <v>23</v>
      </c>
      <c r="P58" s="29" t="s">
        <v>219</v>
      </c>
      <c r="Q58" s="22" t="s">
        <v>221</v>
      </c>
      <c r="R58" s="22" t="s">
        <v>222</v>
      </c>
      <c r="S58" s="22" t="s">
        <v>223</v>
      </c>
      <c r="T58" s="22" t="s">
        <v>224</v>
      </c>
      <c r="U58" s="28" t="s">
        <v>148</v>
      </c>
      <c r="V58" s="22" t="s">
        <v>217</v>
      </c>
    </row>
    <row r="59" spans="1:22" ht="38.25" x14ac:dyDescent="0.25">
      <c r="A59" s="17" t="s">
        <v>541</v>
      </c>
      <c r="B59" s="18" t="s">
        <v>364</v>
      </c>
      <c r="C59" s="17" t="s">
        <v>366</v>
      </c>
      <c r="D59" s="18">
        <v>2</v>
      </c>
      <c r="E59" s="17" t="s">
        <v>152</v>
      </c>
      <c r="F59" s="17" t="s">
        <v>216</v>
      </c>
      <c r="G59" s="17" t="s">
        <v>217</v>
      </c>
      <c r="H59" s="17" t="s">
        <v>217</v>
      </c>
      <c r="I59" s="17" t="s">
        <v>218</v>
      </c>
      <c r="J59" s="29" t="s">
        <v>219</v>
      </c>
      <c r="K59" s="29" t="s">
        <v>219</v>
      </c>
      <c r="L59" s="29" t="s">
        <v>219</v>
      </c>
      <c r="M59" s="17" t="s">
        <v>220</v>
      </c>
      <c r="N59" s="18" t="s">
        <v>137</v>
      </c>
      <c r="O59" s="29" t="s">
        <v>23</v>
      </c>
      <c r="P59" s="29" t="s">
        <v>219</v>
      </c>
      <c r="Q59" s="17" t="s">
        <v>221</v>
      </c>
      <c r="R59" s="17" t="s">
        <v>222</v>
      </c>
      <c r="S59" s="17" t="s">
        <v>223</v>
      </c>
      <c r="T59" s="17" t="s">
        <v>224</v>
      </c>
      <c r="U59" s="26" t="s">
        <v>148</v>
      </c>
      <c r="V59" s="17" t="s">
        <v>217</v>
      </c>
    </row>
    <row r="60" spans="1:22" ht="38.25" x14ac:dyDescent="0.25">
      <c r="A60" s="22" t="s">
        <v>541</v>
      </c>
      <c r="B60" s="23" t="s">
        <v>364</v>
      </c>
      <c r="C60" s="22" t="s">
        <v>368</v>
      </c>
      <c r="D60" s="23">
        <v>3</v>
      </c>
      <c r="E60" s="22" t="s">
        <v>152</v>
      </c>
      <c r="F60" s="22" t="s">
        <v>216</v>
      </c>
      <c r="G60" s="22" t="s">
        <v>217</v>
      </c>
      <c r="H60" s="22" t="s">
        <v>217</v>
      </c>
      <c r="I60" s="22" t="s">
        <v>218</v>
      </c>
      <c r="J60" s="29" t="s">
        <v>219</v>
      </c>
      <c r="K60" s="29" t="s">
        <v>219</v>
      </c>
      <c r="L60" s="29" t="s">
        <v>219</v>
      </c>
      <c r="M60" s="22" t="s">
        <v>220</v>
      </c>
      <c r="N60" s="23" t="s">
        <v>137</v>
      </c>
      <c r="O60" s="29" t="s">
        <v>23</v>
      </c>
      <c r="P60" s="29" t="s">
        <v>219</v>
      </c>
      <c r="Q60" s="22" t="s">
        <v>221</v>
      </c>
      <c r="R60" s="22" t="s">
        <v>222</v>
      </c>
      <c r="S60" s="22" t="s">
        <v>223</v>
      </c>
      <c r="T60" s="22" t="s">
        <v>224</v>
      </c>
      <c r="U60" s="28" t="s">
        <v>148</v>
      </c>
      <c r="V60" s="22" t="s">
        <v>217</v>
      </c>
    </row>
    <row r="61" spans="1:22" ht="38.25" x14ac:dyDescent="0.25">
      <c r="A61" s="17" t="s">
        <v>541</v>
      </c>
      <c r="B61" s="18" t="s">
        <v>364</v>
      </c>
      <c r="C61" s="17" t="s">
        <v>370</v>
      </c>
      <c r="D61" s="18">
        <v>2</v>
      </c>
      <c r="E61" s="17" t="s">
        <v>162</v>
      </c>
      <c r="F61" s="17" t="s">
        <v>216</v>
      </c>
      <c r="G61" s="17" t="s">
        <v>217</v>
      </c>
      <c r="H61" s="17" t="s">
        <v>217</v>
      </c>
      <c r="I61" s="17" t="s">
        <v>218</v>
      </c>
      <c r="J61" s="29" t="s">
        <v>219</v>
      </c>
      <c r="K61" s="29" t="s">
        <v>219</v>
      </c>
      <c r="L61" s="29" t="s">
        <v>219</v>
      </c>
      <c r="M61" s="17" t="s">
        <v>220</v>
      </c>
      <c r="N61" s="18" t="s">
        <v>137</v>
      </c>
      <c r="O61" s="29" t="s">
        <v>23</v>
      </c>
      <c r="P61" s="29" t="s">
        <v>219</v>
      </c>
      <c r="Q61" s="17" t="s">
        <v>221</v>
      </c>
      <c r="R61" s="17" t="s">
        <v>222</v>
      </c>
      <c r="S61" s="17" t="s">
        <v>223</v>
      </c>
      <c r="T61" s="17" t="s">
        <v>224</v>
      </c>
      <c r="U61" s="26" t="s">
        <v>148</v>
      </c>
      <c r="V61" s="17" t="s">
        <v>217</v>
      </c>
    </row>
    <row r="62" spans="1:22" ht="25.5" x14ac:dyDescent="0.25">
      <c r="A62" s="22" t="s">
        <v>541</v>
      </c>
      <c r="B62" s="23" t="s">
        <v>364</v>
      </c>
      <c r="C62" s="22" t="s">
        <v>371</v>
      </c>
      <c r="D62" s="23">
        <v>2</v>
      </c>
      <c r="E62" s="22" t="s">
        <v>162</v>
      </c>
      <c r="F62" s="22" t="s">
        <v>176</v>
      </c>
      <c r="G62" s="22" t="s">
        <v>177</v>
      </c>
      <c r="H62" s="22" t="s">
        <v>178</v>
      </c>
      <c r="I62" s="22" t="s">
        <v>135</v>
      </c>
      <c r="J62" s="19" t="s">
        <v>136</v>
      </c>
      <c r="K62" s="19" t="s">
        <v>136</v>
      </c>
      <c r="L62" s="19" t="s">
        <v>136</v>
      </c>
      <c r="M62" s="22" t="s">
        <v>137</v>
      </c>
      <c r="N62" s="23" t="s">
        <v>137</v>
      </c>
      <c r="O62" s="20" t="s">
        <v>22</v>
      </c>
      <c r="P62" s="19" t="s">
        <v>136</v>
      </c>
      <c r="Q62" s="22" t="s">
        <v>138</v>
      </c>
      <c r="R62" s="22" t="s">
        <v>139</v>
      </c>
      <c r="S62" s="22" t="s">
        <v>179</v>
      </c>
      <c r="T62" s="22" t="s">
        <v>141</v>
      </c>
      <c r="U62" s="25" t="s">
        <v>136</v>
      </c>
      <c r="V62" s="22" t="s">
        <v>142</v>
      </c>
    </row>
    <row r="64" spans="1:22" x14ac:dyDescent="0.25">
      <c r="A64" s="53" t="s">
        <v>372</v>
      </c>
      <c r="B64" s="53"/>
      <c r="C64" s="53"/>
      <c r="D64" s="53"/>
      <c r="E64" s="53"/>
      <c r="F64" s="53"/>
      <c r="G64" s="53"/>
      <c r="H64" s="53"/>
      <c r="I64" s="53"/>
      <c r="J64" s="53"/>
      <c r="K64" s="53"/>
      <c r="L64" s="53"/>
      <c r="M64" s="53"/>
      <c r="N64" s="53"/>
      <c r="O64" s="53"/>
      <c r="P64" s="53"/>
      <c r="Q64" s="53"/>
      <c r="R64" s="53"/>
      <c r="S64" s="53"/>
      <c r="T64" s="53"/>
      <c r="U64" s="53"/>
      <c r="V64" s="53"/>
    </row>
  </sheetData>
  <autoFilter ref="A4:V62" xr:uid="{00000000-0009-0000-0000-000004000000}"/>
  <mergeCells count="3">
    <mergeCell ref="A1:V1"/>
    <mergeCell ref="A2:V2"/>
    <mergeCell ref="A64:V6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7"/>
  <sheetViews>
    <sheetView showGridLines="0" zoomScaleNormal="100" workbookViewId="0">
      <pane xSplit="3" ySplit="4" topLeftCell="I62" activePane="bottomRight" state="frozen"/>
      <selection pane="topRight" activeCell="D1" sqref="D1"/>
      <selection pane="bottomLeft" activeCell="A5" sqref="A5"/>
      <selection pane="bottomRight" activeCell="M66" sqref="M66"/>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591</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592</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593</v>
      </c>
      <c r="B5" s="18" t="s">
        <v>129</v>
      </c>
      <c r="C5" s="17" t="s">
        <v>547</v>
      </c>
      <c r="D5" s="18">
        <v>3</v>
      </c>
      <c r="E5" s="17" t="s">
        <v>131</v>
      </c>
      <c r="F5" s="17" t="s">
        <v>548</v>
      </c>
      <c r="G5" s="17" t="s">
        <v>549</v>
      </c>
      <c r="H5" s="17" t="s">
        <v>550</v>
      </c>
      <c r="I5" s="17" t="s">
        <v>147</v>
      </c>
      <c r="J5" s="19" t="s">
        <v>136</v>
      </c>
      <c r="K5" s="19" t="s">
        <v>136</v>
      </c>
      <c r="L5" s="19" t="s">
        <v>136</v>
      </c>
      <c r="M5" s="17" t="s">
        <v>137</v>
      </c>
      <c r="N5" s="18" t="s">
        <v>137</v>
      </c>
      <c r="O5" s="20" t="s">
        <v>22</v>
      </c>
      <c r="P5" s="24" t="s">
        <v>148</v>
      </c>
      <c r="Q5" s="17" t="s">
        <v>551</v>
      </c>
      <c r="R5" s="17" t="s">
        <v>139</v>
      </c>
      <c r="S5" s="17" t="s">
        <v>552</v>
      </c>
      <c r="T5" s="17" t="s">
        <v>141</v>
      </c>
      <c r="U5" s="21" t="s">
        <v>136</v>
      </c>
      <c r="V5" s="17" t="s">
        <v>142</v>
      </c>
    </row>
    <row r="6" spans="1:22" ht="25.5" x14ac:dyDescent="0.25">
      <c r="A6" s="22" t="s">
        <v>593</v>
      </c>
      <c r="B6" s="23" t="s">
        <v>129</v>
      </c>
      <c r="C6" s="22" t="s">
        <v>376</v>
      </c>
      <c r="D6" s="23">
        <v>3</v>
      </c>
      <c r="E6" s="22" t="s">
        <v>131</v>
      </c>
      <c r="F6" s="22" t="s">
        <v>132</v>
      </c>
      <c r="G6" s="22" t="s">
        <v>133</v>
      </c>
      <c r="H6" s="22" t="s">
        <v>134</v>
      </c>
      <c r="I6" s="22" t="s">
        <v>135</v>
      </c>
      <c r="J6" s="19" t="s">
        <v>136</v>
      </c>
      <c r="K6" s="19" t="s">
        <v>136</v>
      </c>
      <c r="L6" s="19" t="s">
        <v>136</v>
      </c>
      <c r="M6" s="22" t="s">
        <v>137</v>
      </c>
      <c r="N6" s="23" t="s">
        <v>137</v>
      </c>
      <c r="O6" s="20" t="s">
        <v>22</v>
      </c>
      <c r="P6" s="19" t="s">
        <v>136</v>
      </c>
      <c r="Q6" s="22" t="s">
        <v>138</v>
      </c>
      <c r="R6" s="22" t="s">
        <v>139</v>
      </c>
      <c r="S6" s="22" t="s">
        <v>140</v>
      </c>
      <c r="T6" s="22" t="s">
        <v>141</v>
      </c>
      <c r="U6" s="25" t="s">
        <v>136</v>
      </c>
      <c r="V6" s="22" t="s">
        <v>142</v>
      </c>
    </row>
    <row r="7" spans="1:22" ht="25.5" x14ac:dyDescent="0.25">
      <c r="A7" s="17" t="s">
        <v>593</v>
      </c>
      <c r="B7" s="18" t="s">
        <v>129</v>
      </c>
      <c r="C7" s="17" t="s">
        <v>594</v>
      </c>
      <c r="D7" s="18">
        <v>2</v>
      </c>
      <c r="E7" s="17" t="s">
        <v>190</v>
      </c>
      <c r="F7" s="17" t="s">
        <v>191</v>
      </c>
      <c r="G7" s="17" t="s">
        <v>192</v>
      </c>
      <c r="H7" s="17" t="s">
        <v>193</v>
      </c>
      <c r="I7" s="17" t="s">
        <v>135</v>
      </c>
      <c r="J7" s="19" t="s">
        <v>136</v>
      </c>
      <c r="K7" s="19" t="s">
        <v>136</v>
      </c>
      <c r="L7" s="19" t="s">
        <v>136</v>
      </c>
      <c r="M7" s="17" t="s">
        <v>137</v>
      </c>
      <c r="N7" s="18" t="s">
        <v>137</v>
      </c>
      <c r="O7" s="20" t="s">
        <v>22</v>
      </c>
      <c r="P7" s="19" t="s">
        <v>136</v>
      </c>
      <c r="Q7" s="17" t="s">
        <v>138</v>
      </c>
      <c r="R7" s="17" t="s">
        <v>139</v>
      </c>
      <c r="S7" s="17" t="s">
        <v>194</v>
      </c>
      <c r="T7" s="17" t="s">
        <v>141</v>
      </c>
      <c r="U7" s="21" t="s">
        <v>136</v>
      </c>
      <c r="V7" s="17" t="s">
        <v>142</v>
      </c>
    </row>
    <row r="8" spans="1:22" ht="51" x14ac:dyDescent="0.25">
      <c r="A8" s="22" t="s">
        <v>593</v>
      </c>
      <c r="B8" s="23" t="s">
        <v>129</v>
      </c>
      <c r="C8" s="22" t="s">
        <v>151</v>
      </c>
      <c r="D8" s="23">
        <v>3</v>
      </c>
      <c r="E8" s="22" t="s">
        <v>190</v>
      </c>
      <c r="F8" s="22" t="s">
        <v>153</v>
      </c>
      <c r="G8" s="22" t="s">
        <v>154</v>
      </c>
      <c r="H8" s="22" t="s">
        <v>155</v>
      </c>
      <c r="I8" s="22" t="s">
        <v>156</v>
      </c>
      <c r="J8" s="19" t="s">
        <v>136</v>
      </c>
      <c r="K8" s="19" t="s">
        <v>136</v>
      </c>
      <c r="L8" s="19" t="s">
        <v>136</v>
      </c>
      <c r="M8" s="17" t="s">
        <v>137</v>
      </c>
      <c r="N8" s="18" t="s">
        <v>137</v>
      </c>
      <c r="O8" s="20" t="s">
        <v>22</v>
      </c>
      <c r="P8" s="24" t="s">
        <v>148</v>
      </c>
      <c r="Q8" s="22" t="s">
        <v>157</v>
      </c>
      <c r="R8" s="22" t="s">
        <v>158</v>
      </c>
      <c r="S8" s="22" t="s">
        <v>159</v>
      </c>
      <c r="T8" s="22" t="s">
        <v>160</v>
      </c>
      <c r="U8" s="28" t="s">
        <v>148</v>
      </c>
      <c r="V8" s="22" t="s">
        <v>142</v>
      </c>
    </row>
    <row r="9" spans="1:22" ht="25.5" x14ac:dyDescent="0.25">
      <c r="A9" s="17" t="s">
        <v>593</v>
      </c>
      <c r="B9" s="18" t="s">
        <v>129</v>
      </c>
      <c r="C9" s="17" t="s">
        <v>383</v>
      </c>
      <c r="D9" s="18">
        <v>1</v>
      </c>
      <c r="E9" s="17" t="s">
        <v>162</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593</v>
      </c>
      <c r="B10" s="23" t="s">
        <v>129</v>
      </c>
      <c r="C10" s="22" t="s">
        <v>384</v>
      </c>
      <c r="D10" s="23">
        <v>1</v>
      </c>
      <c r="E10" s="22" t="s">
        <v>162</v>
      </c>
      <c r="F10" s="22" t="s">
        <v>385</v>
      </c>
      <c r="G10" s="22" t="s">
        <v>386</v>
      </c>
      <c r="H10" s="22" t="s">
        <v>387</v>
      </c>
      <c r="I10" s="22" t="s">
        <v>135</v>
      </c>
      <c r="J10" s="19" t="s">
        <v>136</v>
      </c>
      <c r="K10" s="19" t="s">
        <v>136</v>
      </c>
      <c r="L10" s="19" t="s">
        <v>136</v>
      </c>
      <c r="M10" s="22" t="s">
        <v>137</v>
      </c>
      <c r="N10" s="23" t="s">
        <v>137</v>
      </c>
      <c r="O10" s="20" t="s">
        <v>22</v>
      </c>
      <c r="P10" s="19" t="s">
        <v>136</v>
      </c>
      <c r="Q10" s="22" t="s">
        <v>138</v>
      </c>
      <c r="R10" s="22" t="s">
        <v>139</v>
      </c>
      <c r="S10" s="22" t="s">
        <v>388</v>
      </c>
      <c r="T10" s="22" t="s">
        <v>141</v>
      </c>
      <c r="U10" s="25" t="s">
        <v>136</v>
      </c>
      <c r="V10" s="22" t="s">
        <v>142</v>
      </c>
    </row>
    <row r="11" spans="1:22" ht="25.5" x14ac:dyDescent="0.25">
      <c r="A11" s="17" t="s">
        <v>593</v>
      </c>
      <c r="B11" s="18" t="s">
        <v>129</v>
      </c>
      <c r="C11" s="17" t="s">
        <v>389</v>
      </c>
      <c r="D11" s="18">
        <v>2</v>
      </c>
      <c r="E11" s="17" t="s">
        <v>162</v>
      </c>
      <c r="F11" s="17" t="s">
        <v>385</v>
      </c>
      <c r="G11" s="17" t="s">
        <v>386</v>
      </c>
      <c r="H11" s="17" t="s">
        <v>387</v>
      </c>
      <c r="I11" s="17" t="s">
        <v>135</v>
      </c>
      <c r="J11" s="19" t="s">
        <v>136</v>
      </c>
      <c r="K11" s="19" t="s">
        <v>136</v>
      </c>
      <c r="L11" s="19" t="s">
        <v>136</v>
      </c>
      <c r="M11" s="17" t="s">
        <v>137</v>
      </c>
      <c r="N11" s="18" t="s">
        <v>137</v>
      </c>
      <c r="O11" s="20" t="s">
        <v>22</v>
      </c>
      <c r="P11" s="19" t="s">
        <v>136</v>
      </c>
      <c r="Q11" s="17" t="s">
        <v>138</v>
      </c>
      <c r="R11" s="17" t="s">
        <v>139</v>
      </c>
      <c r="S11" s="17" t="s">
        <v>388</v>
      </c>
      <c r="T11" s="17" t="s">
        <v>141</v>
      </c>
      <c r="U11" s="21" t="s">
        <v>136</v>
      </c>
      <c r="V11" s="17" t="s">
        <v>142</v>
      </c>
    </row>
    <row r="12" spans="1:22" ht="25.5" x14ac:dyDescent="0.25">
      <c r="A12" s="22" t="s">
        <v>593</v>
      </c>
      <c r="B12" s="23" t="s">
        <v>129</v>
      </c>
      <c r="C12" s="22" t="s">
        <v>168</v>
      </c>
      <c r="D12" s="23">
        <v>1</v>
      </c>
      <c r="E12" s="22" t="s">
        <v>162</v>
      </c>
      <c r="F12" s="22" t="s">
        <v>169</v>
      </c>
      <c r="G12" s="22" t="s">
        <v>170</v>
      </c>
      <c r="H12" s="22" t="s">
        <v>171</v>
      </c>
      <c r="I12" s="22" t="s">
        <v>135</v>
      </c>
      <c r="J12" s="19" t="s">
        <v>136</v>
      </c>
      <c r="K12" s="19" t="s">
        <v>136</v>
      </c>
      <c r="L12" s="19" t="s">
        <v>136</v>
      </c>
      <c r="M12" s="22" t="s">
        <v>137</v>
      </c>
      <c r="N12" s="23" t="s">
        <v>137</v>
      </c>
      <c r="O12" s="20" t="s">
        <v>22</v>
      </c>
      <c r="P12" s="19" t="s">
        <v>136</v>
      </c>
      <c r="Q12" s="22" t="s">
        <v>138</v>
      </c>
      <c r="R12" s="22" t="s">
        <v>139</v>
      </c>
      <c r="S12" s="22" t="s">
        <v>172</v>
      </c>
      <c r="T12" s="22" t="s">
        <v>141</v>
      </c>
      <c r="U12" s="25" t="s">
        <v>136</v>
      </c>
      <c r="V12" s="22" t="s">
        <v>142</v>
      </c>
    </row>
    <row r="13" spans="1:22" ht="25.5" x14ac:dyDescent="0.25">
      <c r="A13" s="17" t="s">
        <v>593</v>
      </c>
      <c r="B13" s="18" t="s">
        <v>129</v>
      </c>
      <c r="C13" s="17" t="s">
        <v>175</v>
      </c>
      <c r="D13" s="18">
        <v>1</v>
      </c>
      <c r="E13" s="17" t="s">
        <v>162</v>
      </c>
      <c r="F13" s="17" t="s">
        <v>176</v>
      </c>
      <c r="G13" s="17" t="s">
        <v>177</v>
      </c>
      <c r="H13" s="17" t="s">
        <v>178</v>
      </c>
      <c r="I13" s="17" t="s">
        <v>135</v>
      </c>
      <c r="J13" s="19" t="s">
        <v>136</v>
      </c>
      <c r="K13" s="19" t="s">
        <v>136</v>
      </c>
      <c r="L13" s="19" t="s">
        <v>136</v>
      </c>
      <c r="M13" s="17" t="s">
        <v>137</v>
      </c>
      <c r="N13" s="18" t="s">
        <v>137</v>
      </c>
      <c r="O13" s="20" t="s">
        <v>22</v>
      </c>
      <c r="P13" s="19" t="s">
        <v>136</v>
      </c>
      <c r="Q13" s="17" t="s">
        <v>138</v>
      </c>
      <c r="R13" s="17" t="s">
        <v>139</v>
      </c>
      <c r="S13" s="17" t="s">
        <v>179</v>
      </c>
      <c r="T13" s="17" t="s">
        <v>141</v>
      </c>
      <c r="U13" s="21" t="s">
        <v>136</v>
      </c>
      <c r="V13" s="17" t="s">
        <v>142</v>
      </c>
    </row>
    <row r="14" spans="1:22" ht="25.5" x14ac:dyDescent="0.25">
      <c r="A14" s="22" t="s">
        <v>593</v>
      </c>
      <c r="B14" s="23" t="s">
        <v>180</v>
      </c>
      <c r="C14" s="22" t="s">
        <v>183</v>
      </c>
      <c r="D14" s="23">
        <v>4</v>
      </c>
      <c r="E14" s="22" t="s">
        <v>131</v>
      </c>
      <c r="F14" s="22" t="s">
        <v>184</v>
      </c>
      <c r="G14" s="22" t="s">
        <v>185</v>
      </c>
      <c r="H14" s="22" t="s">
        <v>186</v>
      </c>
      <c r="I14" s="22" t="s">
        <v>147</v>
      </c>
      <c r="J14" s="19" t="s">
        <v>136</v>
      </c>
      <c r="K14" s="19" t="s">
        <v>136</v>
      </c>
      <c r="L14" s="19" t="s">
        <v>136</v>
      </c>
      <c r="M14" s="22" t="s">
        <v>137</v>
      </c>
      <c r="N14" s="23" t="s">
        <v>137</v>
      </c>
      <c r="O14" s="20" t="s">
        <v>22</v>
      </c>
      <c r="P14" s="24" t="s">
        <v>148</v>
      </c>
      <c r="Q14" s="22" t="s">
        <v>187</v>
      </c>
      <c r="R14" s="22" t="s">
        <v>139</v>
      </c>
      <c r="S14" s="22" t="s">
        <v>188</v>
      </c>
      <c r="T14" s="22" t="s">
        <v>141</v>
      </c>
      <c r="U14" s="25" t="s">
        <v>136</v>
      </c>
      <c r="V14" s="22" t="s">
        <v>142</v>
      </c>
    </row>
    <row r="15" spans="1:22" ht="25.5" x14ac:dyDescent="0.25">
      <c r="A15" s="17" t="s">
        <v>593</v>
      </c>
      <c r="B15" s="18" t="s">
        <v>180</v>
      </c>
      <c r="C15" s="17" t="s">
        <v>543</v>
      </c>
      <c r="D15" s="18">
        <v>4</v>
      </c>
      <c r="E15" s="17" t="s">
        <v>131</v>
      </c>
      <c r="F15" s="17" t="s">
        <v>144</v>
      </c>
      <c r="G15" s="17" t="s">
        <v>145</v>
      </c>
      <c r="H15" s="17" t="s">
        <v>146</v>
      </c>
      <c r="I15" s="17" t="s">
        <v>147</v>
      </c>
      <c r="J15" s="19" t="s">
        <v>136</v>
      </c>
      <c r="K15" s="19" t="s">
        <v>136</v>
      </c>
      <c r="L15" s="19" t="s">
        <v>136</v>
      </c>
      <c r="M15" s="17" t="s">
        <v>137</v>
      </c>
      <c r="N15" s="18" t="s">
        <v>137</v>
      </c>
      <c r="O15" s="20" t="s">
        <v>22</v>
      </c>
      <c r="P15" s="24" t="s">
        <v>148</v>
      </c>
      <c r="Q15" s="17" t="s">
        <v>149</v>
      </c>
      <c r="R15" s="17" t="s">
        <v>139</v>
      </c>
      <c r="S15" s="17" t="s">
        <v>150</v>
      </c>
      <c r="T15" s="17" t="s">
        <v>141</v>
      </c>
      <c r="U15" s="21" t="s">
        <v>136</v>
      </c>
      <c r="V15" s="17" t="s">
        <v>142</v>
      </c>
    </row>
    <row r="16" spans="1:22" ht="25.5" x14ac:dyDescent="0.25">
      <c r="A16" s="22" t="s">
        <v>593</v>
      </c>
      <c r="B16" s="23" t="s">
        <v>180</v>
      </c>
      <c r="C16" s="22" t="s">
        <v>390</v>
      </c>
      <c r="D16" s="23">
        <v>4</v>
      </c>
      <c r="E16" s="22" t="s">
        <v>131</v>
      </c>
      <c r="F16" s="22" t="s">
        <v>132</v>
      </c>
      <c r="G16" s="22" t="s">
        <v>133</v>
      </c>
      <c r="H16" s="22" t="s">
        <v>134</v>
      </c>
      <c r="I16" s="22" t="s">
        <v>135</v>
      </c>
      <c r="J16" s="19" t="s">
        <v>136</v>
      </c>
      <c r="K16" s="19" t="s">
        <v>136</v>
      </c>
      <c r="L16" s="19" t="s">
        <v>136</v>
      </c>
      <c r="M16" s="22" t="s">
        <v>137</v>
      </c>
      <c r="N16" s="23" t="s">
        <v>137</v>
      </c>
      <c r="O16" s="20" t="s">
        <v>22</v>
      </c>
      <c r="P16" s="19" t="s">
        <v>136</v>
      </c>
      <c r="Q16" s="22" t="s">
        <v>138</v>
      </c>
      <c r="R16" s="22" t="s">
        <v>139</v>
      </c>
      <c r="S16" s="22" t="s">
        <v>140</v>
      </c>
      <c r="T16" s="22" t="s">
        <v>141</v>
      </c>
      <c r="U16" s="25" t="s">
        <v>136</v>
      </c>
      <c r="V16" s="22" t="s">
        <v>142</v>
      </c>
    </row>
    <row r="17" spans="1:22" ht="25.5" x14ac:dyDescent="0.25">
      <c r="A17" s="17" t="s">
        <v>593</v>
      </c>
      <c r="B17" s="18" t="s">
        <v>180</v>
      </c>
      <c r="C17" s="17" t="s">
        <v>182</v>
      </c>
      <c r="D17" s="18">
        <v>3</v>
      </c>
      <c r="E17" s="17" t="s">
        <v>131</v>
      </c>
      <c r="F17" s="17" t="s">
        <v>132</v>
      </c>
      <c r="G17" s="17" t="s">
        <v>133</v>
      </c>
      <c r="H17" s="17" t="s">
        <v>134</v>
      </c>
      <c r="I17" s="17" t="s">
        <v>135</v>
      </c>
      <c r="J17" s="19" t="s">
        <v>136</v>
      </c>
      <c r="K17" s="19" t="s">
        <v>136</v>
      </c>
      <c r="L17" s="19" t="s">
        <v>136</v>
      </c>
      <c r="M17" s="17" t="s">
        <v>137</v>
      </c>
      <c r="N17" s="18" t="s">
        <v>137</v>
      </c>
      <c r="O17" s="20" t="s">
        <v>22</v>
      </c>
      <c r="P17" s="19" t="s">
        <v>136</v>
      </c>
      <c r="Q17" s="17" t="s">
        <v>138</v>
      </c>
      <c r="R17" s="17" t="s">
        <v>139</v>
      </c>
      <c r="S17" s="17" t="s">
        <v>140</v>
      </c>
      <c r="T17" s="17" t="s">
        <v>141</v>
      </c>
      <c r="U17" s="21" t="s">
        <v>136</v>
      </c>
      <c r="V17" s="17" t="s">
        <v>142</v>
      </c>
    </row>
    <row r="18" spans="1:22" ht="51" x14ac:dyDescent="0.25">
      <c r="A18" s="22" t="s">
        <v>593</v>
      </c>
      <c r="B18" s="23" t="s">
        <v>180</v>
      </c>
      <c r="C18" s="22" t="s">
        <v>406</v>
      </c>
      <c r="D18" s="23">
        <v>2</v>
      </c>
      <c r="E18" s="22" t="s">
        <v>162</v>
      </c>
      <c r="F18" s="22" t="s">
        <v>407</v>
      </c>
      <c r="G18" s="22" t="s">
        <v>408</v>
      </c>
      <c r="H18" s="22" t="s">
        <v>409</v>
      </c>
      <c r="I18" s="22" t="s">
        <v>410</v>
      </c>
      <c r="J18" s="19" t="s">
        <v>136</v>
      </c>
      <c r="K18" s="19" t="s">
        <v>136</v>
      </c>
      <c r="L18" s="19" t="s">
        <v>136</v>
      </c>
      <c r="M18" s="17" t="s">
        <v>137</v>
      </c>
      <c r="N18" s="18" t="s">
        <v>137</v>
      </c>
      <c r="O18" s="20" t="s">
        <v>22</v>
      </c>
      <c r="P18" s="24" t="s">
        <v>148</v>
      </c>
      <c r="Q18" s="22" t="s">
        <v>157</v>
      </c>
      <c r="R18" s="22" t="s">
        <v>411</v>
      </c>
      <c r="S18" s="22" t="s">
        <v>412</v>
      </c>
      <c r="T18" s="22" t="s">
        <v>241</v>
      </c>
      <c r="U18" s="28" t="s">
        <v>148</v>
      </c>
      <c r="V18" s="22" t="s">
        <v>142</v>
      </c>
    </row>
    <row r="19" spans="1:22" ht="25.5" x14ac:dyDescent="0.25">
      <c r="A19" s="17" t="s">
        <v>593</v>
      </c>
      <c r="B19" s="18" t="s">
        <v>180</v>
      </c>
      <c r="C19" s="17" t="s">
        <v>197</v>
      </c>
      <c r="D19" s="18">
        <v>1</v>
      </c>
      <c r="E19" s="17" t="s">
        <v>162</v>
      </c>
      <c r="F19" s="17" t="s">
        <v>176</v>
      </c>
      <c r="G19" s="17" t="s">
        <v>177</v>
      </c>
      <c r="H19" s="17" t="s">
        <v>178</v>
      </c>
      <c r="I19" s="17" t="s">
        <v>135</v>
      </c>
      <c r="J19" s="19" t="s">
        <v>136</v>
      </c>
      <c r="K19" s="19" t="s">
        <v>136</v>
      </c>
      <c r="L19" s="19" t="s">
        <v>136</v>
      </c>
      <c r="M19" s="17" t="s">
        <v>137</v>
      </c>
      <c r="N19" s="18" t="s">
        <v>137</v>
      </c>
      <c r="O19" s="20" t="s">
        <v>22</v>
      </c>
      <c r="P19" s="19" t="s">
        <v>136</v>
      </c>
      <c r="Q19" s="17" t="s">
        <v>138</v>
      </c>
      <c r="R19" s="17" t="s">
        <v>139</v>
      </c>
      <c r="S19" s="17" t="s">
        <v>179</v>
      </c>
      <c r="T19" s="17" t="s">
        <v>141</v>
      </c>
      <c r="U19" s="21" t="s">
        <v>136</v>
      </c>
      <c r="V19" s="17" t="s">
        <v>142</v>
      </c>
    </row>
    <row r="20" spans="1:22" ht="25.5" x14ac:dyDescent="0.25">
      <c r="A20" s="22" t="s">
        <v>593</v>
      </c>
      <c r="B20" s="23" t="s">
        <v>198</v>
      </c>
      <c r="C20" s="22" t="s">
        <v>546</v>
      </c>
      <c r="D20" s="23">
        <v>3</v>
      </c>
      <c r="E20" s="22" t="s">
        <v>131</v>
      </c>
      <c r="F20" s="22" t="s">
        <v>144</v>
      </c>
      <c r="G20" s="22" t="s">
        <v>145</v>
      </c>
      <c r="H20" s="22" t="s">
        <v>146</v>
      </c>
      <c r="I20" s="22" t="s">
        <v>147</v>
      </c>
      <c r="J20" s="19" t="s">
        <v>136</v>
      </c>
      <c r="K20" s="19" t="s">
        <v>136</v>
      </c>
      <c r="L20" s="19" t="s">
        <v>136</v>
      </c>
      <c r="M20" s="22" t="s">
        <v>137</v>
      </c>
      <c r="N20" s="23" t="s">
        <v>137</v>
      </c>
      <c r="O20" s="20" t="s">
        <v>22</v>
      </c>
      <c r="P20" s="24" t="s">
        <v>148</v>
      </c>
      <c r="Q20" s="22" t="s">
        <v>149</v>
      </c>
      <c r="R20" s="22" t="s">
        <v>139</v>
      </c>
      <c r="S20" s="22" t="s">
        <v>150</v>
      </c>
      <c r="T20" s="22" t="s">
        <v>141</v>
      </c>
      <c r="U20" s="25" t="s">
        <v>136</v>
      </c>
      <c r="V20" s="22" t="s">
        <v>142</v>
      </c>
    </row>
    <row r="21" spans="1:22" ht="25.5" x14ac:dyDescent="0.25">
      <c r="A21" s="17" t="s">
        <v>593</v>
      </c>
      <c r="B21" s="18" t="s">
        <v>198</v>
      </c>
      <c r="C21" s="17" t="s">
        <v>595</v>
      </c>
      <c r="D21" s="18">
        <v>3</v>
      </c>
      <c r="E21" s="17" t="s">
        <v>131</v>
      </c>
      <c r="F21" s="17" t="s">
        <v>548</v>
      </c>
      <c r="G21" s="17" t="s">
        <v>549</v>
      </c>
      <c r="H21" s="17" t="s">
        <v>550</v>
      </c>
      <c r="I21" s="17" t="s">
        <v>147</v>
      </c>
      <c r="J21" s="19" t="s">
        <v>136</v>
      </c>
      <c r="K21" s="19" t="s">
        <v>136</v>
      </c>
      <c r="L21" s="19" t="s">
        <v>136</v>
      </c>
      <c r="M21" s="17" t="s">
        <v>137</v>
      </c>
      <c r="N21" s="18" t="s">
        <v>137</v>
      </c>
      <c r="O21" s="20" t="s">
        <v>22</v>
      </c>
      <c r="P21" s="24" t="s">
        <v>148</v>
      </c>
      <c r="Q21" s="17" t="s">
        <v>551</v>
      </c>
      <c r="R21" s="17" t="s">
        <v>139</v>
      </c>
      <c r="S21" s="17" t="s">
        <v>552</v>
      </c>
      <c r="T21" s="17" t="s">
        <v>141</v>
      </c>
      <c r="U21" s="21" t="s">
        <v>136</v>
      </c>
      <c r="V21" s="17" t="s">
        <v>142</v>
      </c>
    </row>
    <row r="22" spans="1:22" ht="25.5" x14ac:dyDescent="0.25">
      <c r="A22" s="22" t="s">
        <v>593</v>
      </c>
      <c r="B22" s="23" t="s">
        <v>198</v>
      </c>
      <c r="C22" s="22" t="s">
        <v>414</v>
      </c>
      <c r="D22" s="23">
        <v>3</v>
      </c>
      <c r="E22" s="22" t="s">
        <v>131</v>
      </c>
      <c r="F22" s="22" t="s">
        <v>132</v>
      </c>
      <c r="G22" s="22" t="s">
        <v>133</v>
      </c>
      <c r="H22" s="22" t="s">
        <v>134</v>
      </c>
      <c r="I22" s="22" t="s">
        <v>135</v>
      </c>
      <c r="J22" s="19" t="s">
        <v>136</v>
      </c>
      <c r="K22" s="19" t="s">
        <v>136</v>
      </c>
      <c r="L22" s="19" t="s">
        <v>136</v>
      </c>
      <c r="M22" s="22" t="s">
        <v>137</v>
      </c>
      <c r="N22" s="23" t="s">
        <v>137</v>
      </c>
      <c r="O22" s="20" t="s">
        <v>22</v>
      </c>
      <c r="P22" s="19" t="s">
        <v>136</v>
      </c>
      <c r="Q22" s="22" t="s">
        <v>138</v>
      </c>
      <c r="R22" s="22" t="s">
        <v>139</v>
      </c>
      <c r="S22" s="22" t="s">
        <v>140</v>
      </c>
      <c r="T22" s="22" t="s">
        <v>141</v>
      </c>
      <c r="U22" s="25" t="s">
        <v>136</v>
      </c>
      <c r="V22" s="22" t="s">
        <v>142</v>
      </c>
    </row>
    <row r="23" spans="1:22" ht="25.5" x14ac:dyDescent="0.25">
      <c r="A23" s="17" t="s">
        <v>593</v>
      </c>
      <c r="B23" s="18" t="s">
        <v>198</v>
      </c>
      <c r="C23" s="17" t="s">
        <v>200</v>
      </c>
      <c r="D23" s="18">
        <v>3</v>
      </c>
      <c r="E23" s="17" t="s">
        <v>131</v>
      </c>
      <c r="F23" s="17" t="s">
        <v>132</v>
      </c>
      <c r="G23" s="17" t="s">
        <v>133</v>
      </c>
      <c r="H23" s="17" t="s">
        <v>134</v>
      </c>
      <c r="I23" s="17" t="s">
        <v>135</v>
      </c>
      <c r="J23" s="19" t="s">
        <v>136</v>
      </c>
      <c r="K23" s="19" t="s">
        <v>136</v>
      </c>
      <c r="L23" s="19" t="s">
        <v>136</v>
      </c>
      <c r="M23" s="17" t="s">
        <v>137</v>
      </c>
      <c r="N23" s="18" t="s">
        <v>137</v>
      </c>
      <c r="O23" s="20" t="s">
        <v>22</v>
      </c>
      <c r="P23" s="19" t="s">
        <v>136</v>
      </c>
      <c r="Q23" s="17" t="s">
        <v>138</v>
      </c>
      <c r="R23" s="17" t="s">
        <v>139</v>
      </c>
      <c r="S23" s="17" t="s">
        <v>140</v>
      </c>
      <c r="T23" s="17" t="s">
        <v>141</v>
      </c>
      <c r="U23" s="21" t="s">
        <v>136</v>
      </c>
      <c r="V23" s="17" t="s">
        <v>142</v>
      </c>
    </row>
    <row r="24" spans="1:22" ht="25.5" x14ac:dyDescent="0.25">
      <c r="A24" s="22" t="s">
        <v>593</v>
      </c>
      <c r="B24" s="23" t="s">
        <v>198</v>
      </c>
      <c r="C24" s="22" t="s">
        <v>596</v>
      </c>
      <c r="D24" s="23">
        <v>3</v>
      </c>
      <c r="E24" s="22" t="s">
        <v>190</v>
      </c>
      <c r="F24" s="22" t="s">
        <v>191</v>
      </c>
      <c r="G24" s="22" t="s">
        <v>192</v>
      </c>
      <c r="H24" s="22" t="s">
        <v>193</v>
      </c>
      <c r="I24" s="22" t="s">
        <v>135</v>
      </c>
      <c r="J24" s="19" t="s">
        <v>136</v>
      </c>
      <c r="K24" s="19" t="s">
        <v>136</v>
      </c>
      <c r="L24" s="19" t="s">
        <v>136</v>
      </c>
      <c r="M24" s="22" t="s">
        <v>137</v>
      </c>
      <c r="N24" s="23" t="s">
        <v>137</v>
      </c>
      <c r="O24" s="20" t="s">
        <v>22</v>
      </c>
      <c r="P24" s="19" t="s">
        <v>136</v>
      </c>
      <c r="Q24" s="22" t="s">
        <v>138</v>
      </c>
      <c r="R24" s="22" t="s">
        <v>139</v>
      </c>
      <c r="S24" s="22" t="s">
        <v>194</v>
      </c>
      <c r="T24" s="22" t="s">
        <v>141</v>
      </c>
      <c r="U24" s="25" t="s">
        <v>136</v>
      </c>
      <c r="V24" s="22" t="s">
        <v>142</v>
      </c>
    </row>
    <row r="25" spans="1:22" ht="25.5" x14ac:dyDescent="0.25">
      <c r="A25" s="17" t="s">
        <v>593</v>
      </c>
      <c r="B25" s="18" t="s">
        <v>198</v>
      </c>
      <c r="C25" s="17" t="s">
        <v>173</v>
      </c>
      <c r="D25" s="18">
        <v>1</v>
      </c>
      <c r="E25" s="17" t="s">
        <v>162</v>
      </c>
      <c r="F25" s="17" t="s">
        <v>169</v>
      </c>
      <c r="G25" s="17" t="s">
        <v>170</v>
      </c>
      <c r="H25" s="17" t="s">
        <v>171</v>
      </c>
      <c r="I25" s="17" t="s">
        <v>135</v>
      </c>
      <c r="J25" s="19" t="s">
        <v>136</v>
      </c>
      <c r="K25" s="19" t="s">
        <v>136</v>
      </c>
      <c r="L25" s="19" t="s">
        <v>136</v>
      </c>
      <c r="M25" s="17" t="s">
        <v>137</v>
      </c>
      <c r="N25" s="18" t="s">
        <v>137</v>
      </c>
      <c r="O25" s="20" t="s">
        <v>22</v>
      </c>
      <c r="P25" s="19" t="s">
        <v>136</v>
      </c>
      <c r="Q25" s="17" t="s">
        <v>138</v>
      </c>
      <c r="R25" s="17" t="s">
        <v>139</v>
      </c>
      <c r="S25" s="17" t="s">
        <v>172</v>
      </c>
      <c r="T25" s="17" t="s">
        <v>141</v>
      </c>
      <c r="U25" s="21" t="s">
        <v>136</v>
      </c>
      <c r="V25" s="17" t="s">
        <v>142</v>
      </c>
    </row>
    <row r="26" spans="1:22" ht="25.5" x14ac:dyDescent="0.25">
      <c r="A26" s="22" t="s">
        <v>593</v>
      </c>
      <c r="B26" s="23" t="s">
        <v>198</v>
      </c>
      <c r="C26" s="22" t="s">
        <v>213</v>
      </c>
      <c r="D26" s="23">
        <v>1</v>
      </c>
      <c r="E26" s="22" t="s">
        <v>162</v>
      </c>
      <c r="F26" s="22" t="s">
        <v>176</v>
      </c>
      <c r="G26" s="22" t="s">
        <v>177</v>
      </c>
      <c r="H26" s="22" t="s">
        <v>178</v>
      </c>
      <c r="I26" s="22" t="s">
        <v>135</v>
      </c>
      <c r="J26" s="19" t="s">
        <v>136</v>
      </c>
      <c r="K26" s="19" t="s">
        <v>136</v>
      </c>
      <c r="L26" s="19" t="s">
        <v>136</v>
      </c>
      <c r="M26" s="22" t="s">
        <v>137</v>
      </c>
      <c r="N26" s="23" t="s">
        <v>137</v>
      </c>
      <c r="O26" s="20" t="s">
        <v>22</v>
      </c>
      <c r="P26" s="19" t="s">
        <v>136</v>
      </c>
      <c r="Q26" s="22" t="s">
        <v>138</v>
      </c>
      <c r="R26" s="22" t="s">
        <v>139</v>
      </c>
      <c r="S26" s="22" t="s">
        <v>179</v>
      </c>
      <c r="T26" s="22" t="s">
        <v>141</v>
      </c>
      <c r="U26" s="25" t="s">
        <v>136</v>
      </c>
      <c r="V26" s="22" t="s">
        <v>142</v>
      </c>
    </row>
    <row r="27" spans="1:22" ht="25.5" x14ac:dyDescent="0.25">
      <c r="A27" s="17" t="s">
        <v>593</v>
      </c>
      <c r="B27" s="18" t="s">
        <v>214</v>
      </c>
      <c r="C27" s="17" t="s">
        <v>201</v>
      </c>
      <c r="D27" s="18">
        <v>4</v>
      </c>
      <c r="E27" s="17" t="s">
        <v>131</v>
      </c>
      <c r="F27" s="17" t="s">
        <v>184</v>
      </c>
      <c r="G27" s="17" t="s">
        <v>185</v>
      </c>
      <c r="H27" s="17" t="s">
        <v>186</v>
      </c>
      <c r="I27" s="17" t="s">
        <v>147</v>
      </c>
      <c r="J27" s="19" t="s">
        <v>136</v>
      </c>
      <c r="K27" s="19" t="s">
        <v>136</v>
      </c>
      <c r="L27" s="19" t="s">
        <v>136</v>
      </c>
      <c r="M27" s="17" t="s">
        <v>137</v>
      </c>
      <c r="N27" s="18" t="s">
        <v>137</v>
      </c>
      <c r="O27" s="20" t="s">
        <v>22</v>
      </c>
      <c r="P27" s="24" t="s">
        <v>148</v>
      </c>
      <c r="Q27" s="17" t="s">
        <v>187</v>
      </c>
      <c r="R27" s="17" t="s">
        <v>139</v>
      </c>
      <c r="S27" s="17" t="s">
        <v>188</v>
      </c>
      <c r="T27" s="17" t="s">
        <v>141</v>
      </c>
      <c r="U27" s="21" t="s">
        <v>136</v>
      </c>
      <c r="V27" s="17" t="s">
        <v>142</v>
      </c>
    </row>
    <row r="28" spans="1:22" ht="25.5" x14ac:dyDescent="0.25">
      <c r="A28" s="22" t="s">
        <v>593</v>
      </c>
      <c r="B28" s="23" t="s">
        <v>214</v>
      </c>
      <c r="C28" s="22" t="s">
        <v>555</v>
      </c>
      <c r="D28" s="23">
        <v>4</v>
      </c>
      <c r="E28" s="22" t="s">
        <v>131</v>
      </c>
      <c r="F28" s="22" t="s">
        <v>132</v>
      </c>
      <c r="G28" s="22" t="s">
        <v>133</v>
      </c>
      <c r="H28" s="22" t="s">
        <v>134</v>
      </c>
      <c r="I28" s="22" t="s">
        <v>135</v>
      </c>
      <c r="J28" s="19" t="s">
        <v>136</v>
      </c>
      <c r="K28" s="19" t="s">
        <v>136</v>
      </c>
      <c r="L28" s="19" t="s">
        <v>136</v>
      </c>
      <c r="M28" s="22" t="s">
        <v>137</v>
      </c>
      <c r="N28" s="23" t="s">
        <v>137</v>
      </c>
      <c r="O28" s="20" t="s">
        <v>22</v>
      </c>
      <c r="P28" s="19" t="s">
        <v>136</v>
      </c>
      <c r="Q28" s="22" t="s">
        <v>138</v>
      </c>
      <c r="R28" s="22" t="s">
        <v>139</v>
      </c>
      <c r="S28" s="22" t="s">
        <v>140</v>
      </c>
      <c r="T28" s="22" t="s">
        <v>141</v>
      </c>
      <c r="U28" s="25" t="s">
        <v>136</v>
      </c>
      <c r="V28" s="22" t="s">
        <v>142</v>
      </c>
    </row>
    <row r="29" spans="1:22" ht="25.5" x14ac:dyDescent="0.25">
      <c r="A29" s="17" t="s">
        <v>593</v>
      </c>
      <c r="B29" s="18" t="s">
        <v>214</v>
      </c>
      <c r="C29" s="17" t="s">
        <v>418</v>
      </c>
      <c r="D29" s="18">
        <v>3</v>
      </c>
      <c r="E29" s="17" t="s">
        <v>131</v>
      </c>
      <c r="F29" s="17" t="s">
        <v>132</v>
      </c>
      <c r="G29" s="17" t="s">
        <v>133</v>
      </c>
      <c r="H29" s="17" t="s">
        <v>134</v>
      </c>
      <c r="I29" s="17" t="s">
        <v>135</v>
      </c>
      <c r="J29" s="19" t="s">
        <v>136</v>
      </c>
      <c r="K29" s="19" t="s">
        <v>136</v>
      </c>
      <c r="L29" s="19" t="s">
        <v>136</v>
      </c>
      <c r="M29" s="17" t="s">
        <v>137</v>
      </c>
      <c r="N29" s="18" t="s">
        <v>137</v>
      </c>
      <c r="O29" s="20" t="s">
        <v>22</v>
      </c>
      <c r="P29" s="19" t="s">
        <v>136</v>
      </c>
      <c r="Q29" s="17" t="s">
        <v>138</v>
      </c>
      <c r="R29" s="17" t="s">
        <v>139</v>
      </c>
      <c r="S29" s="17" t="s">
        <v>140</v>
      </c>
      <c r="T29" s="17" t="s">
        <v>141</v>
      </c>
      <c r="U29" s="21" t="s">
        <v>136</v>
      </c>
      <c r="V29" s="17" t="s">
        <v>142</v>
      </c>
    </row>
    <row r="30" spans="1:22" ht="25.5" x14ac:dyDescent="0.25">
      <c r="A30" s="22" t="s">
        <v>593</v>
      </c>
      <c r="B30" s="23" t="s">
        <v>214</v>
      </c>
      <c r="C30" s="22" t="s">
        <v>597</v>
      </c>
      <c r="D30" s="23">
        <v>3</v>
      </c>
      <c r="E30" s="22" t="s">
        <v>190</v>
      </c>
      <c r="F30" s="22" t="s">
        <v>191</v>
      </c>
      <c r="G30" s="22" t="s">
        <v>192</v>
      </c>
      <c r="H30" s="22" t="s">
        <v>193</v>
      </c>
      <c r="I30" s="22" t="s">
        <v>135</v>
      </c>
      <c r="J30" s="19" t="s">
        <v>136</v>
      </c>
      <c r="K30" s="19" t="s">
        <v>136</v>
      </c>
      <c r="L30" s="19" t="s">
        <v>136</v>
      </c>
      <c r="M30" s="22" t="s">
        <v>137</v>
      </c>
      <c r="N30" s="23" t="s">
        <v>137</v>
      </c>
      <c r="O30" s="20" t="s">
        <v>22</v>
      </c>
      <c r="P30" s="19" t="s">
        <v>136</v>
      </c>
      <c r="Q30" s="22" t="s">
        <v>138</v>
      </c>
      <c r="R30" s="22" t="s">
        <v>139</v>
      </c>
      <c r="S30" s="22" t="s">
        <v>194</v>
      </c>
      <c r="T30" s="22" t="s">
        <v>141</v>
      </c>
      <c r="U30" s="25" t="s">
        <v>136</v>
      </c>
      <c r="V30" s="22" t="s">
        <v>142</v>
      </c>
    </row>
    <row r="31" spans="1:22" ht="25.5" x14ac:dyDescent="0.25">
      <c r="A31" s="17" t="s">
        <v>593</v>
      </c>
      <c r="B31" s="18" t="s">
        <v>214</v>
      </c>
      <c r="C31" s="17" t="s">
        <v>598</v>
      </c>
      <c r="D31" s="18">
        <v>3</v>
      </c>
      <c r="E31" s="17" t="s">
        <v>190</v>
      </c>
      <c r="F31" s="17" t="s">
        <v>379</v>
      </c>
      <c r="G31" s="17" t="s">
        <v>380</v>
      </c>
      <c r="H31" s="17" t="s">
        <v>381</v>
      </c>
      <c r="I31" s="17" t="s">
        <v>135</v>
      </c>
      <c r="J31" s="19" t="s">
        <v>136</v>
      </c>
      <c r="K31" s="19" t="s">
        <v>136</v>
      </c>
      <c r="L31" s="19" t="s">
        <v>136</v>
      </c>
      <c r="M31" s="17" t="s">
        <v>137</v>
      </c>
      <c r="N31" s="18" t="s">
        <v>137</v>
      </c>
      <c r="O31" s="20" t="s">
        <v>22</v>
      </c>
      <c r="P31" s="19" t="s">
        <v>136</v>
      </c>
      <c r="Q31" s="17" t="s">
        <v>138</v>
      </c>
      <c r="R31" s="17" t="s">
        <v>139</v>
      </c>
      <c r="S31" s="17" t="s">
        <v>382</v>
      </c>
      <c r="T31" s="17" t="s">
        <v>141</v>
      </c>
      <c r="U31" s="21" t="s">
        <v>136</v>
      </c>
      <c r="V31" s="17" t="s">
        <v>142</v>
      </c>
    </row>
    <row r="32" spans="1:22" ht="25.5" x14ac:dyDescent="0.25">
      <c r="A32" s="22" t="s">
        <v>593</v>
      </c>
      <c r="B32" s="23" t="s">
        <v>214</v>
      </c>
      <c r="C32" s="22" t="s">
        <v>244</v>
      </c>
      <c r="D32" s="23">
        <v>1</v>
      </c>
      <c r="E32" s="22" t="s">
        <v>162</v>
      </c>
      <c r="F32" s="22" t="s">
        <v>176</v>
      </c>
      <c r="G32" s="22" t="s">
        <v>177</v>
      </c>
      <c r="H32" s="22" t="s">
        <v>178</v>
      </c>
      <c r="I32" s="22" t="s">
        <v>135</v>
      </c>
      <c r="J32" s="19" t="s">
        <v>136</v>
      </c>
      <c r="K32" s="19" t="s">
        <v>136</v>
      </c>
      <c r="L32" s="19" t="s">
        <v>136</v>
      </c>
      <c r="M32" s="22" t="s">
        <v>137</v>
      </c>
      <c r="N32" s="23" t="s">
        <v>137</v>
      </c>
      <c r="O32" s="20" t="s">
        <v>22</v>
      </c>
      <c r="P32" s="19" t="s">
        <v>136</v>
      </c>
      <c r="Q32" s="22" t="s">
        <v>138</v>
      </c>
      <c r="R32" s="22" t="s">
        <v>139</v>
      </c>
      <c r="S32" s="22" t="s">
        <v>179</v>
      </c>
      <c r="T32" s="22" t="s">
        <v>141</v>
      </c>
      <c r="U32" s="25" t="s">
        <v>136</v>
      </c>
      <c r="V32" s="22" t="s">
        <v>142</v>
      </c>
    </row>
    <row r="33" spans="1:22" ht="25.5" x14ac:dyDescent="0.25">
      <c r="A33" s="17" t="s">
        <v>593</v>
      </c>
      <c r="B33" s="18" t="s">
        <v>245</v>
      </c>
      <c r="C33" s="17" t="s">
        <v>599</v>
      </c>
      <c r="D33" s="18">
        <v>3</v>
      </c>
      <c r="E33" s="17" t="s">
        <v>190</v>
      </c>
      <c r="F33" s="17" t="s">
        <v>184</v>
      </c>
      <c r="G33" s="17" t="s">
        <v>185</v>
      </c>
      <c r="H33" s="17" t="s">
        <v>186</v>
      </c>
      <c r="I33" s="17" t="s">
        <v>147</v>
      </c>
      <c r="J33" s="19" t="s">
        <v>136</v>
      </c>
      <c r="K33" s="19" t="s">
        <v>136</v>
      </c>
      <c r="L33" s="19" t="s">
        <v>136</v>
      </c>
      <c r="M33" s="17" t="s">
        <v>137</v>
      </c>
      <c r="N33" s="18" t="s">
        <v>137</v>
      </c>
      <c r="O33" s="20" t="s">
        <v>22</v>
      </c>
      <c r="P33" s="24" t="s">
        <v>148</v>
      </c>
      <c r="Q33" s="17" t="s">
        <v>187</v>
      </c>
      <c r="R33" s="17" t="s">
        <v>139</v>
      </c>
      <c r="S33" s="17" t="s">
        <v>188</v>
      </c>
      <c r="T33" s="17" t="s">
        <v>141</v>
      </c>
      <c r="U33" s="21" t="s">
        <v>136</v>
      </c>
      <c r="V33" s="17" t="s">
        <v>142</v>
      </c>
    </row>
    <row r="34" spans="1:22" ht="25.5" x14ac:dyDescent="0.25">
      <c r="A34" s="22" t="s">
        <v>593</v>
      </c>
      <c r="B34" s="23" t="s">
        <v>245</v>
      </c>
      <c r="C34" s="22" t="s">
        <v>600</v>
      </c>
      <c r="D34" s="23">
        <v>3</v>
      </c>
      <c r="E34" s="22" t="s">
        <v>190</v>
      </c>
      <c r="F34" s="22" t="s">
        <v>191</v>
      </c>
      <c r="G34" s="22" t="s">
        <v>192</v>
      </c>
      <c r="H34" s="22" t="s">
        <v>193</v>
      </c>
      <c r="I34" s="22" t="s">
        <v>135</v>
      </c>
      <c r="J34" s="19" t="s">
        <v>136</v>
      </c>
      <c r="K34" s="19" t="s">
        <v>136</v>
      </c>
      <c r="L34" s="19" t="s">
        <v>136</v>
      </c>
      <c r="M34" s="22" t="s">
        <v>137</v>
      </c>
      <c r="N34" s="23" t="s">
        <v>137</v>
      </c>
      <c r="O34" s="20" t="s">
        <v>22</v>
      </c>
      <c r="P34" s="19" t="s">
        <v>136</v>
      </c>
      <c r="Q34" s="22" t="s">
        <v>138</v>
      </c>
      <c r="R34" s="22" t="s">
        <v>139</v>
      </c>
      <c r="S34" s="22" t="s">
        <v>194</v>
      </c>
      <c r="T34" s="22" t="s">
        <v>141</v>
      </c>
      <c r="U34" s="25" t="s">
        <v>136</v>
      </c>
      <c r="V34" s="22" t="s">
        <v>142</v>
      </c>
    </row>
    <row r="35" spans="1:22" ht="25.5" x14ac:dyDescent="0.25">
      <c r="A35" s="17" t="s">
        <v>593</v>
      </c>
      <c r="B35" s="18" t="s">
        <v>245</v>
      </c>
      <c r="C35" s="17" t="s">
        <v>601</v>
      </c>
      <c r="D35" s="18">
        <v>3</v>
      </c>
      <c r="E35" s="17" t="s">
        <v>190</v>
      </c>
      <c r="F35" s="17" t="s">
        <v>548</v>
      </c>
      <c r="G35" s="17" t="s">
        <v>549</v>
      </c>
      <c r="H35" s="17" t="s">
        <v>550</v>
      </c>
      <c r="I35" s="17" t="s">
        <v>147</v>
      </c>
      <c r="J35" s="19" t="s">
        <v>136</v>
      </c>
      <c r="K35" s="19" t="s">
        <v>136</v>
      </c>
      <c r="L35" s="19" t="s">
        <v>136</v>
      </c>
      <c r="M35" s="17" t="s">
        <v>137</v>
      </c>
      <c r="N35" s="18" t="s">
        <v>137</v>
      </c>
      <c r="O35" s="20" t="s">
        <v>22</v>
      </c>
      <c r="P35" s="24" t="s">
        <v>148</v>
      </c>
      <c r="Q35" s="17" t="s">
        <v>551</v>
      </c>
      <c r="R35" s="17" t="s">
        <v>139</v>
      </c>
      <c r="S35" s="17" t="s">
        <v>552</v>
      </c>
      <c r="T35" s="17" t="s">
        <v>141</v>
      </c>
      <c r="U35" s="21" t="s">
        <v>136</v>
      </c>
      <c r="V35" s="17" t="s">
        <v>142</v>
      </c>
    </row>
    <row r="36" spans="1:22" ht="25.5" x14ac:dyDescent="0.25">
      <c r="A36" s="22" t="s">
        <v>593</v>
      </c>
      <c r="B36" s="23" t="s">
        <v>245</v>
      </c>
      <c r="C36" s="22" t="s">
        <v>602</v>
      </c>
      <c r="D36" s="23">
        <v>3</v>
      </c>
      <c r="E36" s="22" t="s">
        <v>190</v>
      </c>
      <c r="F36" s="22" t="s">
        <v>184</v>
      </c>
      <c r="G36" s="22" t="s">
        <v>185</v>
      </c>
      <c r="H36" s="22" t="s">
        <v>186</v>
      </c>
      <c r="I36" s="22" t="s">
        <v>147</v>
      </c>
      <c r="J36" s="19" t="s">
        <v>136</v>
      </c>
      <c r="K36" s="19" t="s">
        <v>136</v>
      </c>
      <c r="L36" s="19" t="s">
        <v>136</v>
      </c>
      <c r="M36" s="22" t="s">
        <v>137</v>
      </c>
      <c r="N36" s="23" t="s">
        <v>137</v>
      </c>
      <c r="O36" s="20" t="s">
        <v>22</v>
      </c>
      <c r="P36" s="24" t="s">
        <v>148</v>
      </c>
      <c r="Q36" s="22" t="s">
        <v>187</v>
      </c>
      <c r="R36" s="22" t="s">
        <v>139</v>
      </c>
      <c r="S36" s="22" t="s">
        <v>188</v>
      </c>
      <c r="T36" s="22" t="s">
        <v>141</v>
      </c>
      <c r="U36" s="25" t="s">
        <v>136</v>
      </c>
      <c r="V36" s="22" t="s">
        <v>142</v>
      </c>
    </row>
    <row r="37" spans="1:22" ht="25.5" x14ac:dyDescent="0.25">
      <c r="A37" s="17" t="s">
        <v>593</v>
      </c>
      <c r="B37" s="18" t="s">
        <v>245</v>
      </c>
      <c r="C37" s="17" t="s">
        <v>603</v>
      </c>
      <c r="D37" s="18">
        <v>3</v>
      </c>
      <c r="E37" s="17" t="s">
        <v>190</v>
      </c>
      <c r="F37" s="17" t="s">
        <v>379</v>
      </c>
      <c r="G37" s="17" t="s">
        <v>380</v>
      </c>
      <c r="H37" s="17" t="s">
        <v>381</v>
      </c>
      <c r="I37" s="17" t="s">
        <v>135</v>
      </c>
      <c r="J37" s="19" t="s">
        <v>136</v>
      </c>
      <c r="K37" s="19" t="s">
        <v>136</v>
      </c>
      <c r="L37" s="19" t="s">
        <v>136</v>
      </c>
      <c r="M37" s="17" t="s">
        <v>137</v>
      </c>
      <c r="N37" s="18" t="s">
        <v>137</v>
      </c>
      <c r="O37" s="20" t="s">
        <v>22</v>
      </c>
      <c r="P37" s="19" t="s">
        <v>136</v>
      </c>
      <c r="Q37" s="17" t="s">
        <v>138</v>
      </c>
      <c r="R37" s="17" t="s">
        <v>139</v>
      </c>
      <c r="S37" s="17" t="s">
        <v>382</v>
      </c>
      <c r="T37" s="17" t="s">
        <v>141</v>
      </c>
      <c r="U37" s="21" t="s">
        <v>136</v>
      </c>
      <c r="V37" s="17" t="s">
        <v>142</v>
      </c>
    </row>
    <row r="38" spans="1:22" ht="25.5" x14ac:dyDescent="0.25">
      <c r="A38" s="22" t="s">
        <v>593</v>
      </c>
      <c r="B38" s="23" t="s">
        <v>245</v>
      </c>
      <c r="C38" s="22" t="s">
        <v>196</v>
      </c>
      <c r="D38" s="23">
        <v>1</v>
      </c>
      <c r="E38" s="22" t="s">
        <v>162</v>
      </c>
      <c r="F38" s="22" t="s">
        <v>169</v>
      </c>
      <c r="G38" s="22" t="s">
        <v>170</v>
      </c>
      <c r="H38" s="22" t="s">
        <v>171</v>
      </c>
      <c r="I38" s="22" t="s">
        <v>135</v>
      </c>
      <c r="J38" s="19" t="s">
        <v>136</v>
      </c>
      <c r="K38" s="19" t="s">
        <v>136</v>
      </c>
      <c r="L38" s="19" t="s">
        <v>136</v>
      </c>
      <c r="M38" s="22" t="s">
        <v>137</v>
      </c>
      <c r="N38" s="23" t="s">
        <v>137</v>
      </c>
      <c r="O38" s="20" t="s">
        <v>22</v>
      </c>
      <c r="P38" s="19" t="s">
        <v>136</v>
      </c>
      <c r="Q38" s="22" t="s">
        <v>138</v>
      </c>
      <c r="R38" s="22" t="s">
        <v>139</v>
      </c>
      <c r="S38" s="22" t="s">
        <v>172</v>
      </c>
      <c r="T38" s="22" t="s">
        <v>141</v>
      </c>
      <c r="U38" s="25" t="s">
        <v>136</v>
      </c>
      <c r="V38" s="22" t="s">
        <v>142</v>
      </c>
    </row>
    <row r="39" spans="1:22" ht="25.5" x14ac:dyDescent="0.25">
      <c r="A39" s="17" t="s">
        <v>593</v>
      </c>
      <c r="B39" s="18" t="s">
        <v>245</v>
      </c>
      <c r="C39" s="17" t="s">
        <v>284</v>
      </c>
      <c r="D39" s="18">
        <v>1</v>
      </c>
      <c r="E39" s="17" t="s">
        <v>162</v>
      </c>
      <c r="F39" s="17" t="s">
        <v>176</v>
      </c>
      <c r="G39" s="17" t="s">
        <v>177</v>
      </c>
      <c r="H39" s="17" t="s">
        <v>178</v>
      </c>
      <c r="I39" s="17" t="s">
        <v>135</v>
      </c>
      <c r="J39" s="19" t="s">
        <v>136</v>
      </c>
      <c r="K39" s="19" t="s">
        <v>136</v>
      </c>
      <c r="L39" s="19" t="s">
        <v>136</v>
      </c>
      <c r="M39" s="17" t="s">
        <v>137</v>
      </c>
      <c r="N39" s="18" t="s">
        <v>137</v>
      </c>
      <c r="O39" s="20" t="s">
        <v>22</v>
      </c>
      <c r="P39" s="19" t="s">
        <v>136</v>
      </c>
      <c r="Q39" s="17" t="s">
        <v>138</v>
      </c>
      <c r="R39" s="17" t="s">
        <v>139</v>
      </c>
      <c r="S39" s="17" t="s">
        <v>179</v>
      </c>
      <c r="T39" s="17" t="s">
        <v>141</v>
      </c>
      <c r="U39" s="21" t="s">
        <v>136</v>
      </c>
      <c r="V39" s="17" t="s">
        <v>142</v>
      </c>
    </row>
    <row r="40" spans="1:22" ht="25.5" x14ac:dyDescent="0.25">
      <c r="A40" s="22" t="s">
        <v>593</v>
      </c>
      <c r="B40" s="23" t="s">
        <v>285</v>
      </c>
      <c r="C40" s="22" t="s">
        <v>604</v>
      </c>
      <c r="D40" s="23">
        <v>3</v>
      </c>
      <c r="E40" s="22" t="s">
        <v>190</v>
      </c>
      <c r="F40" s="22" t="s">
        <v>191</v>
      </c>
      <c r="G40" s="22" t="s">
        <v>192</v>
      </c>
      <c r="H40" s="22" t="s">
        <v>193</v>
      </c>
      <c r="I40" s="22" t="s">
        <v>135</v>
      </c>
      <c r="J40" s="19" t="s">
        <v>136</v>
      </c>
      <c r="K40" s="19" t="s">
        <v>136</v>
      </c>
      <c r="L40" s="19" t="s">
        <v>136</v>
      </c>
      <c r="M40" s="22" t="s">
        <v>137</v>
      </c>
      <c r="N40" s="23" t="s">
        <v>137</v>
      </c>
      <c r="O40" s="20" t="s">
        <v>22</v>
      </c>
      <c r="P40" s="19" t="s">
        <v>136</v>
      </c>
      <c r="Q40" s="22" t="s">
        <v>138</v>
      </c>
      <c r="R40" s="22" t="s">
        <v>139</v>
      </c>
      <c r="S40" s="22" t="s">
        <v>194</v>
      </c>
      <c r="T40" s="22" t="s">
        <v>141</v>
      </c>
      <c r="U40" s="25" t="s">
        <v>136</v>
      </c>
      <c r="V40" s="22" t="s">
        <v>142</v>
      </c>
    </row>
    <row r="41" spans="1:22" ht="25.5" x14ac:dyDescent="0.25">
      <c r="A41" s="17" t="s">
        <v>593</v>
      </c>
      <c r="B41" s="18" t="s">
        <v>285</v>
      </c>
      <c r="C41" s="17" t="s">
        <v>522</v>
      </c>
      <c r="D41" s="18">
        <v>3</v>
      </c>
      <c r="E41" s="17" t="s">
        <v>190</v>
      </c>
      <c r="F41" s="17" t="s">
        <v>191</v>
      </c>
      <c r="G41" s="17" t="s">
        <v>192</v>
      </c>
      <c r="H41" s="17" t="s">
        <v>193</v>
      </c>
      <c r="I41" s="17" t="s">
        <v>135</v>
      </c>
      <c r="J41" s="19" t="s">
        <v>136</v>
      </c>
      <c r="K41" s="19" t="s">
        <v>136</v>
      </c>
      <c r="L41" s="19" t="s">
        <v>136</v>
      </c>
      <c r="M41" s="17" t="s">
        <v>137</v>
      </c>
      <c r="N41" s="18" t="s">
        <v>137</v>
      </c>
      <c r="O41" s="20" t="s">
        <v>22</v>
      </c>
      <c r="P41" s="19" t="s">
        <v>136</v>
      </c>
      <c r="Q41" s="17" t="s">
        <v>138</v>
      </c>
      <c r="R41" s="17" t="s">
        <v>139</v>
      </c>
      <c r="S41" s="17" t="s">
        <v>194</v>
      </c>
      <c r="T41" s="17" t="s">
        <v>141</v>
      </c>
      <c r="U41" s="21" t="s">
        <v>136</v>
      </c>
      <c r="V41" s="17" t="s">
        <v>142</v>
      </c>
    </row>
    <row r="42" spans="1:22" ht="51" x14ac:dyDescent="0.25">
      <c r="A42" s="22" t="s">
        <v>593</v>
      </c>
      <c r="B42" s="23" t="s">
        <v>285</v>
      </c>
      <c r="C42" s="22" t="s">
        <v>605</v>
      </c>
      <c r="D42" s="23">
        <v>3</v>
      </c>
      <c r="E42" s="22" t="s">
        <v>152</v>
      </c>
      <c r="F42" s="22" t="s">
        <v>606</v>
      </c>
      <c r="G42" s="22" t="s">
        <v>607</v>
      </c>
      <c r="H42" s="22" t="s">
        <v>608</v>
      </c>
      <c r="I42" s="22" t="s">
        <v>609</v>
      </c>
      <c r="J42" s="19" t="s">
        <v>136</v>
      </c>
      <c r="K42" s="19" t="s">
        <v>136</v>
      </c>
      <c r="L42" s="19" t="s">
        <v>136</v>
      </c>
      <c r="M42" s="17" t="s">
        <v>137</v>
      </c>
      <c r="N42" s="18" t="s">
        <v>137</v>
      </c>
      <c r="O42" s="20" t="s">
        <v>22</v>
      </c>
      <c r="P42" s="27" t="s">
        <v>54</v>
      </c>
      <c r="Q42" s="22" t="s">
        <v>610</v>
      </c>
      <c r="R42" s="22" t="s">
        <v>611</v>
      </c>
      <c r="S42" s="22" t="s">
        <v>612</v>
      </c>
      <c r="T42" s="22" t="s">
        <v>241</v>
      </c>
      <c r="U42" s="31" t="s">
        <v>54</v>
      </c>
      <c r="V42" s="22" t="s">
        <v>142</v>
      </c>
    </row>
    <row r="43" spans="1:22" ht="25.5" x14ac:dyDescent="0.25">
      <c r="A43" s="17" t="s">
        <v>593</v>
      </c>
      <c r="B43" s="18" t="s">
        <v>285</v>
      </c>
      <c r="C43" s="17" t="s">
        <v>613</v>
      </c>
      <c r="D43" s="18">
        <v>3</v>
      </c>
      <c r="E43" s="17" t="s">
        <v>190</v>
      </c>
      <c r="F43" s="17" t="s">
        <v>548</v>
      </c>
      <c r="G43" s="17" t="s">
        <v>549</v>
      </c>
      <c r="H43" s="17" t="s">
        <v>550</v>
      </c>
      <c r="I43" s="17" t="s">
        <v>147</v>
      </c>
      <c r="J43" s="19" t="s">
        <v>136</v>
      </c>
      <c r="K43" s="19" t="s">
        <v>136</v>
      </c>
      <c r="L43" s="19" t="s">
        <v>136</v>
      </c>
      <c r="M43" s="17" t="s">
        <v>137</v>
      </c>
      <c r="N43" s="18" t="s">
        <v>137</v>
      </c>
      <c r="O43" s="20" t="s">
        <v>22</v>
      </c>
      <c r="P43" s="24" t="s">
        <v>148</v>
      </c>
      <c r="Q43" s="17" t="s">
        <v>551</v>
      </c>
      <c r="R43" s="17" t="s">
        <v>139</v>
      </c>
      <c r="S43" s="17" t="s">
        <v>552</v>
      </c>
      <c r="T43" s="17" t="s">
        <v>141</v>
      </c>
      <c r="U43" s="21" t="s">
        <v>136</v>
      </c>
      <c r="V43" s="17" t="s">
        <v>142</v>
      </c>
    </row>
    <row r="44" spans="1:22" ht="25.5" x14ac:dyDescent="0.25">
      <c r="A44" s="22" t="s">
        <v>593</v>
      </c>
      <c r="B44" s="23" t="s">
        <v>285</v>
      </c>
      <c r="C44" s="22" t="s">
        <v>523</v>
      </c>
      <c r="D44" s="23">
        <v>3</v>
      </c>
      <c r="E44" s="22" t="s">
        <v>152</v>
      </c>
      <c r="F44" s="22" t="s">
        <v>191</v>
      </c>
      <c r="G44" s="22" t="s">
        <v>192</v>
      </c>
      <c r="H44" s="22" t="s">
        <v>193</v>
      </c>
      <c r="I44" s="22" t="s">
        <v>135</v>
      </c>
      <c r="J44" s="19" t="s">
        <v>136</v>
      </c>
      <c r="K44" s="19" t="s">
        <v>136</v>
      </c>
      <c r="L44" s="19" t="s">
        <v>136</v>
      </c>
      <c r="M44" s="22" t="s">
        <v>137</v>
      </c>
      <c r="N44" s="23" t="s">
        <v>137</v>
      </c>
      <c r="O44" s="20" t="s">
        <v>22</v>
      </c>
      <c r="P44" s="19" t="s">
        <v>136</v>
      </c>
      <c r="Q44" s="22" t="s">
        <v>138</v>
      </c>
      <c r="R44" s="22" t="s">
        <v>139</v>
      </c>
      <c r="S44" s="22" t="s">
        <v>194</v>
      </c>
      <c r="T44" s="22" t="s">
        <v>141</v>
      </c>
      <c r="U44" s="25" t="s">
        <v>136</v>
      </c>
      <c r="V44" s="22" t="s">
        <v>142</v>
      </c>
    </row>
    <row r="45" spans="1:22" ht="25.5" x14ac:dyDescent="0.25">
      <c r="A45" s="17" t="s">
        <v>593</v>
      </c>
      <c r="B45" s="18" t="s">
        <v>285</v>
      </c>
      <c r="C45" s="17" t="s">
        <v>413</v>
      </c>
      <c r="D45" s="18">
        <v>2</v>
      </c>
      <c r="E45" s="17" t="s">
        <v>162</v>
      </c>
      <c r="F45" s="17" t="s">
        <v>163</v>
      </c>
      <c r="G45" s="17" t="s">
        <v>164</v>
      </c>
      <c r="H45" s="17" t="s">
        <v>165</v>
      </c>
      <c r="I45" s="17" t="s">
        <v>136</v>
      </c>
      <c r="J45" s="19" t="s">
        <v>136</v>
      </c>
      <c r="K45" s="19" t="s">
        <v>136</v>
      </c>
      <c r="L45" s="19" t="s">
        <v>136</v>
      </c>
      <c r="M45" s="17" t="s">
        <v>137</v>
      </c>
      <c r="N45" s="18" t="s">
        <v>137</v>
      </c>
      <c r="O45" s="20" t="s">
        <v>22</v>
      </c>
      <c r="P45" s="19" t="s">
        <v>136</v>
      </c>
      <c r="Q45" s="17" t="s">
        <v>138</v>
      </c>
      <c r="R45" s="17" t="s">
        <v>139</v>
      </c>
      <c r="S45" s="17" t="s">
        <v>166</v>
      </c>
      <c r="T45" s="17" t="s">
        <v>141</v>
      </c>
      <c r="U45" s="21" t="s">
        <v>136</v>
      </c>
      <c r="V45" s="17" t="s">
        <v>142</v>
      </c>
    </row>
    <row r="46" spans="1:22" ht="25.5" x14ac:dyDescent="0.25">
      <c r="A46" s="22" t="s">
        <v>593</v>
      </c>
      <c r="B46" s="23" t="s">
        <v>285</v>
      </c>
      <c r="C46" s="22" t="s">
        <v>330</v>
      </c>
      <c r="D46" s="23">
        <v>1</v>
      </c>
      <c r="E46" s="22" t="s">
        <v>162</v>
      </c>
      <c r="F46" s="22" t="s">
        <v>176</v>
      </c>
      <c r="G46" s="22" t="s">
        <v>177</v>
      </c>
      <c r="H46" s="22" t="s">
        <v>178</v>
      </c>
      <c r="I46" s="22" t="s">
        <v>135</v>
      </c>
      <c r="J46" s="19" t="s">
        <v>136</v>
      </c>
      <c r="K46" s="19" t="s">
        <v>136</v>
      </c>
      <c r="L46" s="19" t="s">
        <v>136</v>
      </c>
      <c r="M46" s="22" t="s">
        <v>137</v>
      </c>
      <c r="N46" s="23" t="s">
        <v>137</v>
      </c>
      <c r="O46" s="20" t="s">
        <v>22</v>
      </c>
      <c r="P46" s="19" t="s">
        <v>136</v>
      </c>
      <c r="Q46" s="22" t="s">
        <v>138</v>
      </c>
      <c r="R46" s="22" t="s">
        <v>139</v>
      </c>
      <c r="S46" s="22" t="s">
        <v>179</v>
      </c>
      <c r="T46" s="22" t="s">
        <v>141</v>
      </c>
      <c r="U46" s="25" t="s">
        <v>136</v>
      </c>
      <c r="V46" s="22" t="s">
        <v>142</v>
      </c>
    </row>
    <row r="47" spans="1:22" ht="25.5" x14ac:dyDescent="0.25">
      <c r="A47" s="17" t="s">
        <v>593</v>
      </c>
      <c r="B47" s="18" t="s">
        <v>331</v>
      </c>
      <c r="C47" s="17" t="s">
        <v>614</v>
      </c>
      <c r="D47" s="18">
        <v>3</v>
      </c>
      <c r="E47" s="17" t="s">
        <v>152</v>
      </c>
      <c r="F47" s="17" t="s">
        <v>191</v>
      </c>
      <c r="G47" s="17" t="s">
        <v>192</v>
      </c>
      <c r="H47" s="17" t="s">
        <v>193</v>
      </c>
      <c r="I47" s="17" t="s">
        <v>135</v>
      </c>
      <c r="J47" s="19" t="s">
        <v>136</v>
      </c>
      <c r="K47" s="19" t="s">
        <v>136</v>
      </c>
      <c r="L47" s="19" t="s">
        <v>136</v>
      </c>
      <c r="M47" s="17" t="s">
        <v>137</v>
      </c>
      <c r="N47" s="18" t="s">
        <v>137</v>
      </c>
      <c r="O47" s="20" t="s">
        <v>22</v>
      </c>
      <c r="P47" s="19" t="s">
        <v>136</v>
      </c>
      <c r="Q47" s="17" t="s">
        <v>138</v>
      </c>
      <c r="R47" s="17" t="s">
        <v>139</v>
      </c>
      <c r="S47" s="17" t="s">
        <v>194</v>
      </c>
      <c r="T47" s="17" t="s">
        <v>141</v>
      </c>
      <c r="U47" s="21" t="s">
        <v>136</v>
      </c>
      <c r="V47" s="17" t="s">
        <v>142</v>
      </c>
    </row>
    <row r="48" spans="1:22" ht="51" x14ac:dyDescent="0.25">
      <c r="A48" s="22" t="s">
        <v>593</v>
      </c>
      <c r="B48" s="23" t="s">
        <v>331</v>
      </c>
      <c r="C48" s="22" t="s">
        <v>615</v>
      </c>
      <c r="D48" s="23">
        <v>3</v>
      </c>
      <c r="E48" s="22" t="s">
        <v>152</v>
      </c>
      <c r="F48" s="22" t="s">
        <v>606</v>
      </c>
      <c r="G48" s="22" t="s">
        <v>607</v>
      </c>
      <c r="H48" s="22" t="s">
        <v>608</v>
      </c>
      <c r="I48" s="22" t="s">
        <v>609</v>
      </c>
      <c r="J48" s="19" t="s">
        <v>136</v>
      </c>
      <c r="K48" s="19" t="s">
        <v>136</v>
      </c>
      <c r="L48" s="19" t="s">
        <v>136</v>
      </c>
      <c r="M48" s="17" t="s">
        <v>137</v>
      </c>
      <c r="N48" s="18" t="s">
        <v>137</v>
      </c>
      <c r="O48" s="20" t="s">
        <v>22</v>
      </c>
      <c r="P48" s="27" t="s">
        <v>54</v>
      </c>
      <c r="Q48" s="22" t="s">
        <v>610</v>
      </c>
      <c r="R48" s="22" t="s">
        <v>611</v>
      </c>
      <c r="S48" s="22" t="s">
        <v>612</v>
      </c>
      <c r="T48" s="22" t="s">
        <v>241</v>
      </c>
      <c r="U48" s="31" t="s">
        <v>54</v>
      </c>
      <c r="V48" s="22" t="s">
        <v>142</v>
      </c>
    </row>
    <row r="49" spans="1:22" ht="25.5" x14ac:dyDescent="0.25">
      <c r="A49" s="17" t="s">
        <v>593</v>
      </c>
      <c r="B49" s="18" t="s">
        <v>331</v>
      </c>
      <c r="C49" s="17" t="s">
        <v>616</v>
      </c>
      <c r="D49" s="18">
        <v>3</v>
      </c>
      <c r="E49" s="17" t="s">
        <v>152</v>
      </c>
      <c r="F49" s="17" t="s">
        <v>191</v>
      </c>
      <c r="G49" s="17" t="s">
        <v>192</v>
      </c>
      <c r="H49" s="17" t="s">
        <v>193</v>
      </c>
      <c r="I49" s="17" t="s">
        <v>135</v>
      </c>
      <c r="J49" s="19" t="s">
        <v>136</v>
      </c>
      <c r="K49" s="19" t="s">
        <v>136</v>
      </c>
      <c r="L49" s="19" t="s">
        <v>136</v>
      </c>
      <c r="M49" s="17" t="s">
        <v>137</v>
      </c>
      <c r="N49" s="18" t="s">
        <v>137</v>
      </c>
      <c r="O49" s="20" t="s">
        <v>22</v>
      </c>
      <c r="P49" s="19" t="s">
        <v>136</v>
      </c>
      <c r="Q49" s="17" t="s">
        <v>138</v>
      </c>
      <c r="R49" s="17" t="s">
        <v>139</v>
      </c>
      <c r="S49" s="17" t="s">
        <v>194</v>
      </c>
      <c r="T49" s="17" t="s">
        <v>141</v>
      </c>
      <c r="U49" s="21" t="s">
        <v>136</v>
      </c>
      <c r="V49" s="17" t="s">
        <v>142</v>
      </c>
    </row>
    <row r="50" spans="1:22" ht="25.5" x14ac:dyDescent="0.25">
      <c r="A50" s="22" t="s">
        <v>593</v>
      </c>
      <c r="B50" s="23" t="s">
        <v>331</v>
      </c>
      <c r="C50" s="22" t="s">
        <v>617</v>
      </c>
      <c r="D50" s="23">
        <v>3</v>
      </c>
      <c r="E50" s="22" t="s">
        <v>152</v>
      </c>
      <c r="F50" s="22" t="s">
        <v>191</v>
      </c>
      <c r="G50" s="22" t="s">
        <v>192</v>
      </c>
      <c r="H50" s="22" t="s">
        <v>193</v>
      </c>
      <c r="I50" s="22" t="s">
        <v>135</v>
      </c>
      <c r="J50" s="19" t="s">
        <v>136</v>
      </c>
      <c r="K50" s="19" t="s">
        <v>136</v>
      </c>
      <c r="L50" s="19" t="s">
        <v>136</v>
      </c>
      <c r="M50" s="22" t="s">
        <v>137</v>
      </c>
      <c r="N50" s="23" t="s">
        <v>137</v>
      </c>
      <c r="O50" s="20" t="s">
        <v>22</v>
      </c>
      <c r="P50" s="19" t="s">
        <v>136</v>
      </c>
      <c r="Q50" s="22" t="s">
        <v>138</v>
      </c>
      <c r="R50" s="22" t="s">
        <v>139</v>
      </c>
      <c r="S50" s="22" t="s">
        <v>194</v>
      </c>
      <c r="T50" s="22" t="s">
        <v>141</v>
      </c>
      <c r="U50" s="25" t="s">
        <v>136</v>
      </c>
      <c r="V50" s="22" t="s">
        <v>142</v>
      </c>
    </row>
    <row r="51" spans="1:22" ht="38.25" x14ac:dyDescent="0.25">
      <c r="A51" s="17" t="s">
        <v>593</v>
      </c>
      <c r="B51" s="18" t="s">
        <v>331</v>
      </c>
      <c r="C51" s="17" t="s">
        <v>74</v>
      </c>
      <c r="D51" s="18">
        <v>3</v>
      </c>
      <c r="E51" s="17" t="s">
        <v>152</v>
      </c>
      <c r="F51" s="17" t="s">
        <v>478</v>
      </c>
      <c r="G51" s="17" t="s">
        <v>479</v>
      </c>
      <c r="H51" s="17" t="s">
        <v>480</v>
      </c>
      <c r="I51" s="17" t="s">
        <v>481</v>
      </c>
      <c r="J51" s="19" t="s">
        <v>136</v>
      </c>
      <c r="K51" s="19" t="s">
        <v>136</v>
      </c>
      <c r="L51" s="27" t="s">
        <v>54</v>
      </c>
      <c r="M51" s="22" t="s">
        <v>137</v>
      </c>
      <c r="N51" s="23" t="s">
        <v>137</v>
      </c>
      <c r="O51" s="20" t="s">
        <v>22</v>
      </c>
      <c r="P51" s="24" t="s">
        <v>148</v>
      </c>
      <c r="Q51" s="17" t="s">
        <v>232</v>
      </c>
      <c r="R51" s="17" t="s">
        <v>70</v>
      </c>
      <c r="S51" s="17" t="s">
        <v>483</v>
      </c>
      <c r="T51" s="17" t="s">
        <v>234</v>
      </c>
      <c r="U51" s="30" t="s">
        <v>54</v>
      </c>
      <c r="V51" s="17" t="s">
        <v>142</v>
      </c>
    </row>
    <row r="52" spans="1:22" ht="25.5" x14ac:dyDescent="0.25">
      <c r="A52" s="22" t="s">
        <v>593</v>
      </c>
      <c r="B52" s="23" t="s">
        <v>331</v>
      </c>
      <c r="C52" s="22" t="s">
        <v>212</v>
      </c>
      <c r="D52" s="23">
        <v>1</v>
      </c>
      <c r="E52" s="22" t="s">
        <v>162</v>
      </c>
      <c r="F52" s="22" t="s">
        <v>169</v>
      </c>
      <c r="G52" s="22" t="s">
        <v>170</v>
      </c>
      <c r="H52" s="22" t="s">
        <v>171</v>
      </c>
      <c r="I52" s="22" t="s">
        <v>135</v>
      </c>
      <c r="J52" s="19" t="s">
        <v>136</v>
      </c>
      <c r="K52" s="19" t="s">
        <v>136</v>
      </c>
      <c r="L52" s="19" t="s">
        <v>136</v>
      </c>
      <c r="M52" s="22" t="s">
        <v>137</v>
      </c>
      <c r="N52" s="23" t="s">
        <v>137</v>
      </c>
      <c r="O52" s="20" t="s">
        <v>22</v>
      </c>
      <c r="P52" s="19" t="s">
        <v>136</v>
      </c>
      <c r="Q52" s="22" t="s">
        <v>138</v>
      </c>
      <c r="R52" s="22" t="s">
        <v>139</v>
      </c>
      <c r="S52" s="22" t="s">
        <v>172</v>
      </c>
      <c r="T52" s="22" t="s">
        <v>141</v>
      </c>
      <c r="U52" s="25" t="s">
        <v>136</v>
      </c>
      <c r="V52" s="22" t="s">
        <v>142</v>
      </c>
    </row>
    <row r="53" spans="1:22" ht="25.5" x14ac:dyDescent="0.25">
      <c r="A53" s="17" t="s">
        <v>593</v>
      </c>
      <c r="B53" s="18" t="s">
        <v>331</v>
      </c>
      <c r="C53" s="17" t="s">
        <v>363</v>
      </c>
      <c r="D53" s="18">
        <v>1</v>
      </c>
      <c r="E53" s="17" t="s">
        <v>162</v>
      </c>
      <c r="F53" s="17" t="s">
        <v>176</v>
      </c>
      <c r="G53" s="17" t="s">
        <v>177</v>
      </c>
      <c r="H53" s="17" t="s">
        <v>178</v>
      </c>
      <c r="I53" s="17" t="s">
        <v>135</v>
      </c>
      <c r="J53" s="19" t="s">
        <v>136</v>
      </c>
      <c r="K53" s="19" t="s">
        <v>136</v>
      </c>
      <c r="L53" s="19" t="s">
        <v>136</v>
      </c>
      <c r="M53" s="17" t="s">
        <v>137</v>
      </c>
      <c r="N53" s="18" t="s">
        <v>137</v>
      </c>
      <c r="O53" s="20" t="s">
        <v>22</v>
      </c>
      <c r="P53" s="19" t="s">
        <v>136</v>
      </c>
      <c r="Q53" s="17" t="s">
        <v>138</v>
      </c>
      <c r="R53" s="17" t="s">
        <v>139</v>
      </c>
      <c r="S53" s="17" t="s">
        <v>179</v>
      </c>
      <c r="T53" s="17" t="s">
        <v>141</v>
      </c>
      <c r="U53" s="21" t="s">
        <v>136</v>
      </c>
      <c r="V53" s="17" t="s">
        <v>142</v>
      </c>
    </row>
    <row r="54" spans="1:22" ht="38.25" x14ac:dyDescent="0.25">
      <c r="A54" s="22" t="s">
        <v>593</v>
      </c>
      <c r="B54" s="23" t="s">
        <v>364</v>
      </c>
      <c r="C54" s="22" t="s">
        <v>356</v>
      </c>
      <c r="D54" s="23">
        <v>3</v>
      </c>
      <c r="E54" s="22" t="s">
        <v>152</v>
      </c>
      <c r="F54" s="22" t="s">
        <v>216</v>
      </c>
      <c r="G54" s="22" t="s">
        <v>217</v>
      </c>
      <c r="H54" s="22" t="s">
        <v>217</v>
      </c>
      <c r="I54" s="22" t="s">
        <v>218</v>
      </c>
      <c r="J54" s="29" t="s">
        <v>219</v>
      </c>
      <c r="K54" s="29" t="s">
        <v>219</v>
      </c>
      <c r="L54" s="29" t="s">
        <v>219</v>
      </c>
      <c r="M54" s="22" t="s">
        <v>220</v>
      </c>
      <c r="N54" s="23" t="s">
        <v>137</v>
      </c>
      <c r="O54" s="29" t="s">
        <v>23</v>
      </c>
      <c r="P54" s="29" t="s">
        <v>219</v>
      </c>
      <c r="Q54" s="22" t="s">
        <v>221</v>
      </c>
      <c r="R54" s="22" t="s">
        <v>222</v>
      </c>
      <c r="S54" s="22" t="s">
        <v>223</v>
      </c>
      <c r="T54" s="22" t="s">
        <v>224</v>
      </c>
      <c r="U54" s="28" t="s">
        <v>148</v>
      </c>
      <c r="V54" s="22" t="s">
        <v>217</v>
      </c>
    </row>
    <row r="55" spans="1:22" ht="38.25" x14ac:dyDescent="0.25">
      <c r="A55" s="17" t="s">
        <v>593</v>
      </c>
      <c r="B55" s="18" t="s">
        <v>364</v>
      </c>
      <c r="C55" s="17" t="s">
        <v>368</v>
      </c>
      <c r="D55" s="18">
        <v>3</v>
      </c>
      <c r="E55" s="17" t="s">
        <v>152</v>
      </c>
      <c r="F55" s="17" t="s">
        <v>216</v>
      </c>
      <c r="G55" s="17" t="s">
        <v>217</v>
      </c>
      <c r="H55" s="17" t="s">
        <v>217</v>
      </c>
      <c r="I55" s="17" t="s">
        <v>218</v>
      </c>
      <c r="J55" s="29" t="s">
        <v>219</v>
      </c>
      <c r="K55" s="29" t="s">
        <v>219</v>
      </c>
      <c r="L55" s="29" t="s">
        <v>219</v>
      </c>
      <c r="M55" s="17" t="s">
        <v>220</v>
      </c>
      <c r="N55" s="18" t="s">
        <v>137</v>
      </c>
      <c r="O55" s="29" t="s">
        <v>23</v>
      </c>
      <c r="P55" s="29" t="s">
        <v>219</v>
      </c>
      <c r="Q55" s="17" t="s">
        <v>221</v>
      </c>
      <c r="R55" s="17" t="s">
        <v>222</v>
      </c>
      <c r="S55" s="17" t="s">
        <v>223</v>
      </c>
      <c r="T55" s="17" t="s">
        <v>224</v>
      </c>
      <c r="U55" s="26" t="s">
        <v>148</v>
      </c>
      <c r="V55" s="17" t="s">
        <v>217</v>
      </c>
    </row>
    <row r="56" spans="1:22" ht="38.25" x14ac:dyDescent="0.25">
      <c r="A56" s="22" t="s">
        <v>593</v>
      </c>
      <c r="B56" s="23" t="s">
        <v>364</v>
      </c>
      <c r="C56" s="22" t="s">
        <v>618</v>
      </c>
      <c r="D56" s="23">
        <v>3</v>
      </c>
      <c r="E56" s="22" t="s">
        <v>152</v>
      </c>
      <c r="F56" s="22" t="s">
        <v>216</v>
      </c>
      <c r="G56" s="22" t="s">
        <v>217</v>
      </c>
      <c r="H56" s="22" t="s">
        <v>217</v>
      </c>
      <c r="I56" s="22" t="s">
        <v>218</v>
      </c>
      <c r="J56" s="29" t="s">
        <v>219</v>
      </c>
      <c r="K56" s="29" t="s">
        <v>219</v>
      </c>
      <c r="L56" s="29" t="s">
        <v>219</v>
      </c>
      <c r="M56" s="22" t="s">
        <v>220</v>
      </c>
      <c r="N56" s="23" t="s">
        <v>137</v>
      </c>
      <c r="O56" s="29" t="s">
        <v>23</v>
      </c>
      <c r="P56" s="29" t="s">
        <v>219</v>
      </c>
      <c r="Q56" s="22" t="s">
        <v>221</v>
      </c>
      <c r="R56" s="22" t="s">
        <v>222</v>
      </c>
      <c r="S56" s="22" t="s">
        <v>223</v>
      </c>
      <c r="T56" s="22" t="s">
        <v>224</v>
      </c>
      <c r="U56" s="28" t="s">
        <v>148</v>
      </c>
      <c r="V56" s="22" t="s">
        <v>217</v>
      </c>
    </row>
    <row r="57" spans="1:22" ht="38.25" x14ac:dyDescent="0.25">
      <c r="A57" s="17" t="s">
        <v>593</v>
      </c>
      <c r="B57" s="18" t="s">
        <v>364</v>
      </c>
      <c r="C57" s="17" t="s">
        <v>619</v>
      </c>
      <c r="D57" s="18">
        <v>3</v>
      </c>
      <c r="E57" s="17" t="s">
        <v>152</v>
      </c>
      <c r="F57" s="17" t="s">
        <v>216</v>
      </c>
      <c r="G57" s="17" t="s">
        <v>217</v>
      </c>
      <c r="H57" s="17" t="s">
        <v>217</v>
      </c>
      <c r="I57" s="17" t="s">
        <v>218</v>
      </c>
      <c r="J57" s="29" t="s">
        <v>219</v>
      </c>
      <c r="K57" s="29" t="s">
        <v>219</v>
      </c>
      <c r="L57" s="29" t="s">
        <v>219</v>
      </c>
      <c r="M57" s="17" t="s">
        <v>220</v>
      </c>
      <c r="N57" s="18" t="s">
        <v>137</v>
      </c>
      <c r="O57" s="29" t="s">
        <v>23</v>
      </c>
      <c r="P57" s="29" t="s">
        <v>219</v>
      </c>
      <c r="Q57" s="17" t="s">
        <v>221</v>
      </c>
      <c r="R57" s="17" t="s">
        <v>222</v>
      </c>
      <c r="S57" s="17" t="s">
        <v>223</v>
      </c>
      <c r="T57" s="17" t="s">
        <v>224</v>
      </c>
      <c r="U57" s="26" t="s">
        <v>148</v>
      </c>
      <c r="V57" s="17" t="s">
        <v>217</v>
      </c>
    </row>
    <row r="58" spans="1:22" ht="38.25" x14ac:dyDescent="0.25">
      <c r="A58" s="22" t="s">
        <v>593</v>
      </c>
      <c r="B58" s="23" t="s">
        <v>364</v>
      </c>
      <c r="C58" s="22" t="s">
        <v>427</v>
      </c>
      <c r="D58" s="23">
        <v>2</v>
      </c>
      <c r="E58" s="22" t="s">
        <v>162</v>
      </c>
      <c r="F58" s="22" t="s">
        <v>216</v>
      </c>
      <c r="G58" s="22" t="s">
        <v>217</v>
      </c>
      <c r="H58" s="22" t="s">
        <v>217</v>
      </c>
      <c r="I58" s="22" t="s">
        <v>218</v>
      </c>
      <c r="J58" s="29" t="s">
        <v>219</v>
      </c>
      <c r="K58" s="29" t="s">
        <v>219</v>
      </c>
      <c r="L58" s="29" t="s">
        <v>219</v>
      </c>
      <c r="M58" s="22" t="s">
        <v>220</v>
      </c>
      <c r="N58" s="23" t="s">
        <v>137</v>
      </c>
      <c r="O58" s="29" t="s">
        <v>23</v>
      </c>
      <c r="P58" s="29" t="s">
        <v>219</v>
      </c>
      <c r="Q58" s="22" t="s">
        <v>221</v>
      </c>
      <c r="R58" s="22" t="s">
        <v>222</v>
      </c>
      <c r="S58" s="22" t="s">
        <v>223</v>
      </c>
      <c r="T58" s="22" t="s">
        <v>224</v>
      </c>
      <c r="U58" s="28" t="s">
        <v>148</v>
      </c>
      <c r="V58" s="22" t="s">
        <v>217</v>
      </c>
    </row>
    <row r="59" spans="1:22" ht="38.25" x14ac:dyDescent="0.25">
      <c r="A59" s="17" t="s">
        <v>593</v>
      </c>
      <c r="B59" s="18" t="s">
        <v>364</v>
      </c>
      <c r="C59" s="17" t="s">
        <v>455</v>
      </c>
      <c r="D59" s="18">
        <v>2</v>
      </c>
      <c r="E59" s="17" t="s">
        <v>162</v>
      </c>
      <c r="F59" s="17" t="s">
        <v>216</v>
      </c>
      <c r="G59" s="17" t="s">
        <v>217</v>
      </c>
      <c r="H59" s="17" t="s">
        <v>217</v>
      </c>
      <c r="I59" s="17" t="s">
        <v>218</v>
      </c>
      <c r="J59" s="29" t="s">
        <v>219</v>
      </c>
      <c r="K59" s="29" t="s">
        <v>219</v>
      </c>
      <c r="L59" s="29" t="s">
        <v>219</v>
      </c>
      <c r="M59" s="17" t="s">
        <v>220</v>
      </c>
      <c r="N59" s="18" t="s">
        <v>137</v>
      </c>
      <c r="O59" s="29" t="s">
        <v>23</v>
      </c>
      <c r="P59" s="29" t="s">
        <v>219</v>
      </c>
      <c r="Q59" s="17" t="s">
        <v>221</v>
      </c>
      <c r="R59" s="17" t="s">
        <v>222</v>
      </c>
      <c r="S59" s="17" t="s">
        <v>223</v>
      </c>
      <c r="T59" s="17" t="s">
        <v>224</v>
      </c>
      <c r="U59" s="26" t="s">
        <v>148</v>
      </c>
      <c r="V59" s="17" t="s">
        <v>217</v>
      </c>
    </row>
    <row r="60" spans="1:22" ht="38.25" x14ac:dyDescent="0.25">
      <c r="A60" s="22" t="s">
        <v>593</v>
      </c>
      <c r="B60" s="23" t="s">
        <v>364</v>
      </c>
      <c r="C60" s="22" t="s">
        <v>474</v>
      </c>
      <c r="D60" s="23">
        <v>2</v>
      </c>
      <c r="E60" s="22" t="s">
        <v>162</v>
      </c>
      <c r="F60" s="22" t="s">
        <v>216</v>
      </c>
      <c r="G60" s="22" t="s">
        <v>217</v>
      </c>
      <c r="H60" s="22" t="s">
        <v>217</v>
      </c>
      <c r="I60" s="22" t="s">
        <v>218</v>
      </c>
      <c r="J60" s="29" t="s">
        <v>219</v>
      </c>
      <c r="K60" s="29" t="s">
        <v>219</v>
      </c>
      <c r="L60" s="29" t="s">
        <v>219</v>
      </c>
      <c r="M60" s="22" t="s">
        <v>220</v>
      </c>
      <c r="N60" s="23" t="s">
        <v>137</v>
      </c>
      <c r="O60" s="29" t="s">
        <v>23</v>
      </c>
      <c r="P60" s="29" t="s">
        <v>219</v>
      </c>
      <c r="Q60" s="22" t="s">
        <v>221</v>
      </c>
      <c r="R60" s="22" t="s">
        <v>222</v>
      </c>
      <c r="S60" s="22" t="s">
        <v>223</v>
      </c>
      <c r="T60" s="22" t="s">
        <v>224</v>
      </c>
      <c r="U60" s="28" t="s">
        <v>148</v>
      </c>
      <c r="V60" s="22" t="s">
        <v>217</v>
      </c>
    </row>
    <row r="61" spans="1:22" ht="25.5" x14ac:dyDescent="0.25">
      <c r="A61" s="17" t="s">
        <v>593</v>
      </c>
      <c r="B61" s="18" t="s">
        <v>475</v>
      </c>
      <c r="C61" s="17" t="s">
        <v>620</v>
      </c>
      <c r="D61" s="18">
        <v>3</v>
      </c>
      <c r="E61" s="17" t="s">
        <v>152</v>
      </c>
      <c r="F61" s="17" t="s">
        <v>191</v>
      </c>
      <c r="G61" s="17" t="s">
        <v>192</v>
      </c>
      <c r="H61" s="17" t="s">
        <v>193</v>
      </c>
      <c r="I61" s="17" t="s">
        <v>135</v>
      </c>
      <c r="J61" s="19" t="s">
        <v>136</v>
      </c>
      <c r="K61" s="19" t="s">
        <v>136</v>
      </c>
      <c r="L61" s="19" t="s">
        <v>136</v>
      </c>
      <c r="M61" s="17" t="s">
        <v>137</v>
      </c>
      <c r="N61" s="18" t="s">
        <v>137</v>
      </c>
      <c r="O61" s="20" t="s">
        <v>22</v>
      </c>
      <c r="P61" s="19" t="s">
        <v>136</v>
      </c>
      <c r="Q61" s="17" t="s">
        <v>138</v>
      </c>
      <c r="R61" s="17" t="s">
        <v>139</v>
      </c>
      <c r="S61" s="17" t="s">
        <v>194</v>
      </c>
      <c r="T61" s="17" t="s">
        <v>141</v>
      </c>
      <c r="U61" s="21" t="s">
        <v>136</v>
      </c>
      <c r="V61" s="17" t="s">
        <v>142</v>
      </c>
    </row>
    <row r="62" spans="1:22" ht="25.5" x14ac:dyDescent="0.25">
      <c r="A62" s="22" t="s">
        <v>593</v>
      </c>
      <c r="B62" s="23" t="s">
        <v>475</v>
      </c>
      <c r="C62" s="22" t="s">
        <v>621</v>
      </c>
      <c r="D62" s="23">
        <v>4</v>
      </c>
      <c r="E62" s="22" t="s">
        <v>152</v>
      </c>
      <c r="F62" s="22" t="s">
        <v>622</v>
      </c>
      <c r="G62" s="22" t="s">
        <v>623</v>
      </c>
      <c r="H62" s="22" t="s">
        <v>624</v>
      </c>
      <c r="I62" s="22" t="s">
        <v>625</v>
      </c>
      <c r="J62" s="19" t="s">
        <v>136</v>
      </c>
      <c r="K62" s="19" t="s">
        <v>136</v>
      </c>
      <c r="L62" s="19" t="s">
        <v>136</v>
      </c>
      <c r="M62" s="17" t="s">
        <v>137</v>
      </c>
      <c r="N62" s="18" t="s">
        <v>137</v>
      </c>
      <c r="O62" s="20" t="s">
        <v>22</v>
      </c>
      <c r="P62" s="19" t="s">
        <v>136</v>
      </c>
      <c r="Q62" s="22" t="s">
        <v>138</v>
      </c>
      <c r="R62" s="22" t="s">
        <v>626</v>
      </c>
      <c r="S62" s="22" t="s">
        <v>627</v>
      </c>
      <c r="T62" s="22" t="s">
        <v>160</v>
      </c>
      <c r="U62" s="25" t="s">
        <v>136</v>
      </c>
      <c r="V62" s="22" t="s">
        <v>142</v>
      </c>
    </row>
    <row r="63" spans="1:22" ht="38.25" x14ac:dyDescent="0.25">
      <c r="A63" s="17" t="s">
        <v>593</v>
      </c>
      <c r="B63" s="18" t="s">
        <v>475</v>
      </c>
      <c r="C63" s="17" t="s">
        <v>349</v>
      </c>
      <c r="D63" s="18">
        <v>6</v>
      </c>
      <c r="E63" s="17" t="s">
        <v>152</v>
      </c>
      <c r="F63" s="17" t="s">
        <v>350</v>
      </c>
      <c r="G63" s="17" t="s">
        <v>351</v>
      </c>
      <c r="H63" s="17" t="s">
        <v>352</v>
      </c>
      <c r="I63" s="17" t="s">
        <v>353</v>
      </c>
      <c r="J63" s="19" t="s">
        <v>136</v>
      </c>
      <c r="K63" s="19" t="s">
        <v>136</v>
      </c>
      <c r="L63" s="19" t="s">
        <v>136</v>
      </c>
      <c r="M63" s="17" t="s">
        <v>137</v>
      </c>
      <c r="N63" s="18" t="s">
        <v>137</v>
      </c>
      <c r="O63" s="20" t="s">
        <v>22</v>
      </c>
      <c r="P63" s="19" t="s">
        <v>136</v>
      </c>
      <c r="Q63" s="17" t="s">
        <v>157</v>
      </c>
      <c r="R63" s="17" t="s">
        <v>354</v>
      </c>
      <c r="S63" s="17" t="s">
        <v>355</v>
      </c>
      <c r="T63" s="17" t="s">
        <v>160</v>
      </c>
      <c r="U63" s="26" t="s">
        <v>148</v>
      </c>
      <c r="V63" s="17" t="s">
        <v>142</v>
      </c>
    </row>
    <row r="64" spans="1:22" ht="38.25" x14ac:dyDescent="0.25">
      <c r="A64" s="22" t="s">
        <v>593</v>
      </c>
      <c r="B64" s="23" t="s">
        <v>475</v>
      </c>
      <c r="C64" s="22" t="s">
        <v>484</v>
      </c>
      <c r="D64" s="23">
        <v>2</v>
      </c>
      <c r="E64" s="22" t="s">
        <v>162</v>
      </c>
      <c r="F64" s="22" t="s">
        <v>485</v>
      </c>
      <c r="G64" s="22" t="s">
        <v>486</v>
      </c>
      <c r="H64" s="22" t="s">
        <v>487</v>
      </c>
      <c r="I64" s="22" t="s">
        <v>488</v>
      </c>
      <c r="J64" s="19" t="s">
        <v>136</v>
      </c>
      <c r="K64" s="19" t="s">
        <v>136</v>
      </c>
      <c r="L64" s="19" t="s">
        <v>136</v>
      </c>
      <c r="M64" s="17" t="s">
        <v>137</v>
      </c>
      <c r="N64" s="18" t="s">
        <v>137</v>
      </c>
      <c r="O64" s="20" t="s">
        <v>22</v>
      </c>
      <c r="P64" s="24" t="s">
        <v>148</v>
      </c>
      <c r="Q64" s="22" t="s">
        <v>490</v>
      </c>
      <c r="R64" s="22" t="s">
        <v>491</v>
      </c>
      <c r="S64" s="22" t="s">
        <v>492</v>
      </c>
      <c r="T64" s="22" t="s">
        <v>160</v>
      </c>
      <c r="U64" s="25" t="s">
        <v>136</v>
      </c>
      <c r="V64" s="22" t="s">
        <v>142</v>
      </c>
    </row>
    <row r="65" spans="1:22" ht="25.5" x14ac:dyDescent="0.25">
      <c r="A65" s="17" t="s">
        <v>593</v>
      </c>
      <c r="B65" s="18" t="s">
        <v>475</v>
      </c>
      <c r="C65" s="17" t="s">
        <v>371</v>
      </c>
      <c r="D65" s="18">
        <v>1</v>
      </c>
      <c r="E65" s="17" t="s">
        <v>162</v>
      </c>
      <c r="F65" s="17" t="s">
        <v>176</v>
      </c>
      <c r="G65" s="17" t="s">
        <v>177</v>
      </c>
      <c r="H65" s="17" t="s">
        <v>178</v>
      </c>
      <c r="I65" s="17" t="s">
        <v>135</v>
      </c>
      <c r="J65" s="19" t="s">
        <v>136</v>
      </c>
      <c r="K65" s="19" t="s">
        <v>136</v>
      </c>
      <c r="L65" s="19" t="s">
        <v>136</v>
      </c>
      <c r="M65" s="17" t="s">
        <v>137</v>
      </c>
      <c r="N65" s="18" t="s">
        <v>137</v>
      </c>
      <c r="O65" s="20" t="s">
        <v>22</v>
      </c>
      <c r="P65" s="19" t="s">
        <v>136</v>
      </c>
      <c r="Q65" s="17" t="s">
        <v>138</v>
      </c>
      <c r="R65" s="17" t="s">
        <v>139</v>
      </c>
      <c r="S65" s="17" t="s">
        <v>179</v>
      </c>
      <c r="T65" s="17" t="s">
        <v>141</v>
      </c>
      <c r="U65" s="21" t="s">
        <v>136</v>
      </c>
      <c r="V65" s="17" t="s">
        <v>142</v>
      </c>
    </row>
    <row r="67" spans="1:22" x14ac:dyDescent="0.25">
      <c r="A67" s="53" t="s">
        <v>372</v>
      </c>
      <c r="B67" s="53"/>
      <c r="C67" s="53"/>
      <c r="D67" s="53"/>
      <c r="E67" s="53"/>
      <c r="F67" s="53"/>
      <c r="G67" s="53"/>
      <c r="H67" s="53"/>
      <c r="I67" s="53"/>
      <c r="J67" s="53"/>
      <c r="K67" s="53"/>
      <c r="L67" s="53"/>
      <c r="M67" s="53"/>
      <c r="N67" s="53"/>
      <c r="O67" s="53"/>
      <c r="P67" s="53"/>
      <c r="Q67" s="53"/>
      <c r="R67" s="53"/>
      <c r="S67" s="53"/>
      <c r="T67" s="53"/>
      <c r="U67" s="53"/>
      <c r="V67" s="53"/>
    </row>
  </sheetData>
  <autoFilter ref="A4:V65" xr:uid="{00000000-0009-0000-0000-000005000000}"/>
  <mergeCells count="3">
    <mergeCell ref="A1:V1"/>
    <mergeCell ref="A2:V2"/>
    <mergeCell ref="A67:V6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4"/>
  <sheetViews>
    <sheetView showGridLines="0" zoomScaleNormal="100" workbookViewId="0">
      <pane xSplit="3" ySplit="4" topLeftCell="I57" activePane="bottomRight" state="frozen"/>
      <selection pane="topRight" activeCell="D1" sqref="D1"/>
      <selection pane="bottomLeft" activeCell="A5" sqref="A5"/>
      <selection pane="bottomRight" activeCell="J56" sqref="J56:N58"/>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628</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629</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51" x14ac:dyDescent="0.25">
      <c r="A5" s="17" t="s">
        <v>630</v>
      </c>
      <c r="B5" s="18" t="s">
        <v>129</v>
      </c>
      <c r="C5" s="17" t="s">
        <v>151</v>
      </c>
      <c r="D5" s="18">
        <v>3</v>
      </c>
      <c r="E5" s="17" t="s">
        <v>190</v>
      </c>
      <c r="F5" s="17" t="s">
        <v>153</v>
      </c>
      <c r="G5" s="17" t="s">
        <v>154</v>
      </c>
      <c r="H5" s="17" t="s">
        <v>155</v>
      </c>
      <c r="I5" s="17" t="s">
        <v>156</v>
      </c>
      <c r="J5" s="19" t="s">
        <v>136</v>
      </c>
      <c r="K5" s="19" t="s">
        <v>136</v>
      </c>
      <c r="L5" s="19" t="s">
        <v>136</v>
      </c>
      <c r="M5" s="22" t="s">
        <v>137</v>
      </c>
      <c r="N5" s="23" t="s">
        <v>137</v>
      </c>
      <c r="O5" s="20" t="s">
        <v>22</v>
      </c>
      <c r="P5" s="24" t="s">
        <v>148</v>
      </c>
      <c r="Q5" s="17" t="s">
        <v>157</v>
      </c>
      <c r="R5" s="17" t="s">
        <v>158</v>
      </c>
      <c r="S5" s="17" t="s">
        <v>159</v>
      </c>
      <c r="T5" s="17" t="s">
        <v>160</v>
      </c>
      <c r="U5" s="26" t="s">
        <v>148</v>
      </c>
      <c r="V5" s="17" t="s">
        <v>142</v>
      </c>
    </row>
    <row r="6" spans="1:22" ht="25.5" x14ac:dyDescent="0.25">
      <c r="A6" s="22" t="s">
        <v>630</v>
      </c>
      <c r="B6" s="23" t="s">
        <v>129</v>
      </c>
      <c r="C6" s="22" t="s">
        <v>174</v>
      </c>
      <c r="D6" s="23">
        <v>1</v>
      </c>
      <c r="E6" s="22" t="s">
        <v>190</v>
      </c>
      <c r="F6" s="22" t="s">
        <v>163</v>
      </c>
      <c r="G6" s="22" t="s">
        <v>164</v>
      </c>
      <c r="H6" s="22" t="s">
        <v>165</v>
      </c>
      <c r="I6" s="22" t="s">
        <v>136</v>
      </c>
      <c r="J6" s="19" t="s">
        <v>136</v>
      </c>
      <c r="K6" s="19" t="s">
        <v>136</v>
      </c>
      <c r="L6" s="19" t="s">
        <v>136</v>
      </c>
      <c r="M6" s="22" t="s">
        <v>137</v>
      </c>
      <c r="N6" s="23" t="s">
        <v>137</v>
      </c>
      <c r="O6" s="20" t="s">
        <v>22</v>
      </c>
      <c r="P6" s="19" t="s">
        <v>136</v>
      </c>
      <c r="Q6" s="22" t="s">
        <v>138</v>
      </c>
      <c r="R6" s="22" t="s">
        <v>139</v>
      </c>
      <c r="S6" s="22" t="s">
        <v>166</v>
      </c>
      <c r="T6" s="22" t="s">
        <v>141</v>
      </c>
      <c r="U6" s="25" t="s">
        <v>136</v>
      </c>
      <c r="V6" s="22" t="s">
        <v>142</v>
      </c>
    </row>
    <row r="7" spans="1:22" ht="25.5" x14ac:dyDescent="0.25">
      <c r="A7" s="17" t="s">
        <v>630</v>
      </c>
      <c r="B7" s="18" t="s">
        <v>129</v>
      </c>
      <c r="C7" s="17" t="s">
        <v>161</v>
      </c>
      <c r="D7" s="18">
        <v>2</v>
      </c>
      <c r="E7" s="17" t="s">
        <v>162</v>
      </c>
      <c r="F7" s="17" t="s">
        <v>163</v>
      </c>
      <c r="G7" s="17" t="s">
        <v>164</v>
      </c>
      <c r="H7" s="17" t="s">
        <v>165</v>
      </c>
      <c r="I7" s="17" t="s">
        <v>136</v>
      </c>
      <c r="J7" s="19" t="s">
        <v>136</v>
      </c>
      <c r="K7" s="19" t="s">
        <v>136</v>
      </c>
      <c r="L7" s="19" t="s">
        <v>136</v>
      </c>
      <c r="M7" s="17" t="s">
        <v>137</v>
      </c>
      <c r="N7" s="18" t="s">
        <v>137</v>
      </c>
      <c r="O7" s="20" t="s">
        <v>22</v>
      </c>
      <c r="P7" s="19" t="s">
        <v>136</v>
      </c>
      <c r="Q7" s="17" t="s">
        <v>138</v>
      </c>
      <c r="R7" s="17" t="s">
        <v>139</v>
      </c>
      <c r="S7" s="17" t="s">
        <v>166</v>
      </c>
      <c r="T7" s="17" t="s">
        <v>141</v>
      </c>
      <c r="U7" s="21" t="s">
        <v>136</v>
      </c>
      <c r="V7" s="17" t="s">
        <v>142</v>
      </c>
    </row>
    <row r="8" spans="1:22" ht="25.5" x14ac:dyDescent="0.25">
      <c r="A8" s="22" t="s">
        <v>630</v>
      </c>
      <c r="B8" s="23" t="s">
        <v>129</v>
      </c>
      <c r="C8" s="22" t="s">
        <v>167</v>
      </c>
      <c r="D8" s="23">
        <v>2</v>
      </c>
      <c r="E8" s="22" t="s">
        <v>162</v>
      </c>
      <c r="F8" s="22" t="s">
        <v>163</v>
      </c>
      <c r="G8" s="22" t="s">
        <v>164</v>
      </c>
      <c r="H8" s="22" t="s">
        <v>165</v>
      </c>
      <c r="I8" s="22" t="s">
        <v>136</v>
      </c>
      <c r="J8" s="19" t="s">
        <v>136</v>
      </c>
      <c r="K8" s="19" t="s">
        <v>136</v>
      </c>
      <c r="L8" s="19" t="s">
        <v>136</v>
      </c>
      <c r="M8" s="22" t="s">
        <v>137</v>
      </c>
      <c r="N8" s="23" t="s">
        <v>137</v>
      </c>
      <c r="O8" s="20" t="s">
        <v>22</v>
      </c>
      <c r="P8" s="19" t="s">
        <v>136</v>
      </c>
      <c r="Q8" s="22" t="s">
        <v>138</v>
      </c>
      <c r="R8" s="22" t="s">
        <v>139</v>
      </c>
      <c r="S8" s="22" t="s">
        <v>166</v>
      </c>
      <c r="T8" s="22" t="s">
        <v>141</v>
      </c>
      <c r="U8" s="25" t="s">
        <v>136</v>
      </c>
      <c r="V8" s="22" t="s">
        <v>142</v>
      </c>
    </row>
    <row r="9" spans="1:22" ht="25.5" x14ac:dyDescent="0.25">
      <c r="A9" s="17" t="s">
        <v>630</v>
      </c>
      <c r="B9" s="18" t="s">
        <v>129</v>
      </c>
      <c r="C9" s="17" t="s">
        <v>542</v>
      </c>
      <c r="D9" s="18">
        <v>3</v>
      </c>
      <c r="E9" s="17" t="s">
        <v>162</v>
      </c>
      <c r="F9" s="17" t="s">
        <v>132</v>
      </c>
      <c r="G9" s="17" t="s">
        <v>133</v>
      </c>
      <c r="H9" s="17" t="s">
        <v>134</v>
      </c>
      <c r="I9" s="17" t="s">
        <v>135</v>
      </c>
      <c r="J9" s="19" t="s">
        <v>136</v>
      </c>
      <c r="K9" s="19" t="s">
        <v>136</v>
      </c>
      <c r="L9" s="19" t="s">
        <v>136</v>
      </c>
      <c r="M9" s="17" t="s">
        <v>137</v>
      </c>
      <c r="N9" s="18" t="s">
        <v>137</v>
      </c>
      <c r="O9" s="20" t="s">
        <v>22</v>
      </c>
      <c r="P9" s="19" t="s">
        <v>136</v>
      </c>
      <c r="Q9" s="17" t="s">
        <v>138</v>
      </c>
      <c r="R9" s="17" t="s">
        <v>139</v>
      </c>
      <c r="S9" s="17" t="s">
        <v>140</v>
      </c>
      <c r="T9" s="17" t="s">
        <v>141</v>
      </c>
      <c r="U9" s="21" t="s">
        <v>136</v>
      </c>
      <c r="V9" s="17" t="s">
        <v>142</v>
      </c>
    </row>
    <row r="10" spans="1:22" ht="25.5" x14ac:dyDescent="0.25">
      <c r="A10" s="22" t="s">
        <v>630</v>
      </c>
      <c r="B10" s="23" t="s">
        <v>129</v>
      </c>
      <c r="C10" s="22" t="s">
        <v>378</v>
      </c>
      <c r="D10" s="23">
        <v>3</v>
      </c>
      <c r="E10" s="22" t="s">
        <v>162</v>
      </c>
      <c r="F10" s="22" t="s">
        <v>379</v>
      </c>
      <c r="G10" s="22" t="s">
        <v>380</v>
      </c>
      <c r="H10" s="22" t="s">
        <v>381</v>
      </c>
      <c r="I10" s="22" t="s">
        <v>135</v>
      </c>
      <c r="J10" s="19" t="s">
        <v>136</v>
      </c>
      <c r="K10" s="19" t="s">
        <v>136</v>
      </c>
      <c r="L10" s="19" t="s">
        <v>136</v>
      </c>
      <c r="M10" s="22" t="s">
        <v>137</v>
      </c>
      <c r="N10" s="23" t="s">
        <v>137</v>
      </c>
      <c r="O10" s="20" t="s">
        <v>22</v>
      </c>
      <c r="P10" s="19" t="s">
        <v>136</v>
      </c>
      <c r="Q10" s="22" t="s">
        <v>138</v>
      </c>
      <c r="R10" s="22" t="s">
        <v>139</v>
      </c>
      <c r="S10" s="22" t="s">
        <v>382</v>
      </c>
      <c r="T10" s="22" t="s">
        <v>141</v>
      </c>
      <c r="U10" s="25" t="s">
        <v>136</v>
      </c>
      <c r="V10" s="22" t="s">
        <v>142</v>
      </c>
    </row>
    <row r="11" spans="1:22" ht="25.5" x14ac:dyDescent="0.25">
      <c r="A11" s="17" t="s">
        <v>630</v>
      </c>
      <c r="B11" s="18" t="s">
        <v>129</v>
      </c>
      <c r="C11" s="17" t="s">
        <v>631</v>
      </c>
      <c r="D11" s="18">
        <v>2</v>
      </c>
      <c r="E11" s="17" t="s">
        <v>162</v>
      </c>
      <c r="F11" s="17" t="s">
        <v>191</v>
      </c>
      <c r="G11" s="17" t="s">
        <v>192</v>
      </c>
      <c r="H11" s="17" t="s">
        <v>193</v>
      </c>
      <c r="I11" s="17" t="s">
        <v>135</v>
      </c>
      <c r="J11" s="19" t="s">
        <v>136</v>
      </c>
      <c r="K11" s="19" t="s">
        <v>136</v>
      </c>
      <c r="L11" s="19" t="s">
        <v>136</v>
      </c>
      <c r="M11" s="17" t="s">
        <v>137</v>
      </c>
      <c r="N11" s="18" t="s">
        <v>137</v>
      </c>
      <c r="O11" s="20" t="s">
        <v>22</v>
      </c>
      <c r="P11" s="19" t="s">
        <v>136</v>
      </c>
      <c r="Q11" s="17" t="s">
        <v>138</v>
      </c>
      <c r="R11" s="17" t="s">
        <v>139</v>
      </c>
      <c r="S11" s="17" t="s">
        <v>194</v>
      </c>
      <c r="T11" s="17" t="s">
        <v>141</v>
      </c>
      <c r="U11" s="21" t="s">
        <v>136</v>
      </c>
      <c r="V11" s="17" t="s">
        <v>142</v>
      </c>
    </row>
    <row r="12" spans="1:22" ht="25.5" x14ac:dyDescent="0.25">
      <c r="A12" s="22" t="s">
        <v>630</v>
      </c>
      <c r="B12" s="23" t="s">
        <v>129</v>
      </c>
      <c r="C12" s="22" t="s">
        <v>175</v>
      </c>
      <c r="D12" s="23">
        <v>2</v>
      </c>
      <c r="E12" s="22" t="s">
        <v>162</v>
      </c>
      <c r="F12" s="22" t="s">
        <v>176</v>
      </c>
      <c r="G12" s="22" t="s">
        <v>177</v>
      </c>
      <c r="H12" s="22" t="s">
        <v>178</v>
      </c>
      <c r="I12" s="22" t="s">
        <v>135</v>
      </c>
      <c r="J12" s="19" t="s">
        <v>136</v>
      </c>
      <c r="K12" s="19" t="s">
        <v>136</v>
      </c>
      <c r="L12" s="19" t="s">
        <v>136</v>
      </c>
      <c r="M12" s="22" t="s">
        <v>137</v>
      </c>
      <c r="N12" s="23" t="s">
        <v>137</v>
      </c>
      <c r="O12" s="20" t="s">
        <v>22</v>
      </c>
      <c r="P12" s="19" t="s">
        <v>136</v>
      </c>
      <c r="Q12" s="22" t="s">
        <v>138</v>
      </c>
      <c r="R12" s="22" t="s">
        <v>139</v>
      </c>
      <c r="S12" s="22" t="s">
        <v>179</v>
      </c>
      <c r="T12" s="22" t="s">
        <v>141</v>
      </c>
      <c r="U12" s="25" t="s">
        <v>136</v>
      </c>
      <c r="V12" s="22" t="s">
        <v>142</v>
      </c>
    </row>
    <row r="13" spans="1:22" ht="25.5" x14ac:dyDescent="0.25">
      <c r="A13" s="17" t="s">
        <v>630</v>
      </c>
      <c r="B13" s="18" t="s">
        <v>180</v>
      </c>
      <c r="C13" s="17" t="s">
        <v>182</v>
      </c>
      <c r="D13" s="18">
        <v>3</v>
      </c>
      <c r="E13" s="17" t="s">
        <v>131</v>
      </c>
      <c r="F13" s="17" t="s">
        <v>132</v>
      </c>
      <c r="G13" s="17" t="s">
        <v>133</v>
      </c>
      <c r="H13" s="17" t="s">
        <v>134</v>
      </c>
      <c r="I13" s="17" t="s">
        <v>135</v>
      </c>
      <c r="J13" s="19" t="s">
        <v>136</v>
      </c>
      <c r="K13" s="19" t="s">
        <v>136</v>
      </c>
      <c r="L13" s="19" t="s">
        <v>136</v>
      </c>
      <c r="M13" s="17" t="s">
        <v>137</v>
      </c>
      <c r="N13" s="18" t="s">
        <v>137</v>
      </c>
      <c r="O13" s="20" t="s">
        <v>22</v>
      </c>
      <c r="P13" s="19" t="s">
        <v>136</v>
      </c>
      <c r="Q13" s="17" t="s">
        <v>138</v>
      </c>
      <c r="R13" s="17" t="s">
        <v>139</v>
      </c>
      <c r="S13" s="17" t="s">
        <v>140</v>
      </c>
      <c r="T13" s="17" t="s">
        <v>141</v>
      </c>
      <c r="U13" s="21" t="s">
        <v>136</v>
      </c>
      <c r="V13" s="17" t="s">
        <v>142</v>
      </c>
    </row>
    <row r="14" spans="1:22" ht="25.5" x14ac:dyDescent="0.25">
      <c r="A14" s="22" t="s">
        <v>630</v>
      </c>
      <c r="B14" s="23" t="s">
        <v>180</v>
      </c>
      <c r="C14" s="22" t="s">
        <v>183</v>
      </c>
      <c r="D14" s="23">
        <v>4</v>
      </c>
      <c r="E14" s="22" t="s">
        <v>131</v>
      </c>
      <c r="F14" s="22" t="s">
        <v>184</v>
      </c>
      <c r="G14" s="22" t="s">
        <v>185</v>
      </c>
      <c r="H14" s="22" t="s">
        <v>186</v>
      </c>
      <c r="I14" s="22" t="s">
        <v>147</v>
      </c>
      <c r="J14" s="19" t="s">
        <v>136</v>
      </c>
      <c r="K14" s="19" t="s">
        <v>136</v>
      </c>
      <c r="L14" s="19" t="s">
        <v>136</v>
      </c>
      <c r="M14" s="22" t="s">
        <v>137</v>
      </c>
      <c r="N14" s="23" t="s">
        <v>137</v>
      </c>
      <c r="O14" s="20" t="s">
        <v>22</v>
      </c>
      <c r="P14" s="24" t="s">
        <v>148</v>
      </c>
      <c r="Q14" s="22" t="s">
        <v>187</v>
      </c>
      <c r="R14" s="22" t="s">
        <v>139</v>
      </c>
      <c r="S14" s="22" t="s">
        <v>188</v>
      </c>
      <c r="T14" s="22" t="s">
        <v>141</v>
      </c>
      <c r="U14" s="25" t="s">
        <v>136</v>
      </c>
      <c r="V14" s="22" t="s">
        <v>142</v>
      </c>
    </row>
    <row r="15" spans="1:22" ht="25.5" x14ac:dyDescent="0.25">
      <c r="A15" s="17" t="s">
        <v>630</v>
      </c>
      <c r="B15" s="18" t="s">
        <v>180</v>
      </c>
      <c r="C15" s="17" t="s">
        <v>632</v>
      </c>
      <c r="D15" s="18">
        <v>4</v>
      </c>
      <c r="E15" s="17" t="s">
        <v>190</v>
      </c>
      <c r="F15" s="17" t="s">
        <v>132</v>
      </c>
      <c r="G15" s="17" t="s">
        <v>133</v>
      </c>
      <c r="H15" s="17" t="s">
        <v>134</v>
      </c>
      <c r="I15" s="17" t="s">
        <v>135</v>
      </c>
      <c r="J15" s="19" t="s">
        <v>136</v>
      </c>
      <c r="K15" s="19" t="s">
        <v>136</v>
      </c>
      <c r="L15" s="19" t="s">
        <v>136</v>
      </c>
      <c r="M15" s="17" t="s">
        <v>137</v>
      </c>
      <c r="N15" s="18" t="s">
        <v>137</v>
      </c>
      <c r="O15" s="20" t="s">
        <v>22</v>
      </c>
      <c r="P15" s="19" t="s">
        <v>136</v>
      </c>
      <c r="Q15" s="17" t="s">
        <v>138</v>
      </c>
      <c r="R15" s="17" t="s">
        <v>139</v>
      </c>
      <c r="S15" s="17" t="s">
        <v>140</v>
      </c>
      <c r="T15" s="17" t="s">
        <v>141</v>
      </c>
      <c r="U15" s="21" t="s">
        <v>136</v>
      </c>
      <c r="V15" s="17" t="s">
        <v>142</v>
      </c>
    </row>
    <row r="16" spans="1:22" ht="25.5" x14ac:dyDescent="0.25">
      <c r="A16" s="22" t="s">
        <v>630</v>
      </c>
      <c r="B16" s="23" t="s">
        <v>180</v>
      </c>
      <c r="C16" s="22" t="s">
        <v>392</v>
      </c>
      <c r="D16" s="23">
        <v>3</v>
      </c>
      <c r="E16" s="22" t="s">
        <v>190</v>
      </c>
      <c r="F16" s="22" t="s">
        <v>379</v>
      </c>
      <c r="G16" s="22" t="s">
        <v>380</v>
      </c>
      <c r="H16" s="22" t="s">
        <v>381</v>
      </c>
      <c r="I16" s="22" t="s">
        <v>135</v>
      </c>
      <c r="J16" s="19" t="s">
        <v>136</v>
      </c>
      <c r="K16" s="19" t="s">
        <v>136</v>
      </c>
      <c r="L16" s="19" t="s">
        <v>136</v>
      </c>
      <c r="M16" s="22" t="s">
        <v>137</v>
      </c>
      <c r="N16" s="23" t="s">
        <v>137</v>
      </c>
      <c r="O16" s="20" t="s">
        <v>22</v>
      </c>
      <c r="P16" s="19" t="s">
        <v>136</v>
      </c>
      <c r="Q16" s="22" t="s">
        <v>138</v>
      </c>
      <c r="R16" s="22" t="s">
        <v>139</v>
      </c>
      <c r="S16" s="22" t="s">
        <v>382</v>
      </c>
      <c r="T16" s="22" t="s">
        <v>141</v>
      </c>
      <c r="U16" s="25" t="s">
        <v>136</v>
      </c>
      <c r="V16" s="22" t="s">
        <v>142</v>
      </c>
    </row>
    <row r="17" spans="1:22" ht="25.5" x14ac:dyDescent="0.25">
      <c r="A17" s="17" t="s">
        <v>630</v>
      </c>
      <c r="B17" s="18" t="s">
        <v>180</v>
      </c>
      <c r="C17" s="17" t="s">
        <v>168</v>
      </c>
      <c r="D17" s="18">
        <v>1</v>
      </c>
      <c r="E17" s="17" t="s">
        <v>162</v>
      </c>
      <c r="F17" s="17" t="s">
        <v>169</v>
      </c>
      <c r="G17" s="17" t="s">
        <v>170</v>
      </c>
      <c r="H17" s="17" t="s">
        <v>171</v>
      </c>
      <c r="I17" s="17" t="s">
        <v>135</v>
      </c>
      <c r="J17" s="19" t="s">
        <v>136</v>
      </c>
      <c r="K17" s="19" t="s">
        <v>136</v>
      </c>
      <c r="L17" s="19" t="s">
        <v>136</v>
      </c>
      <c r="M17" s="17" t="s">
        <v>137</v>
      </c>
      <c r="N17" s="18" t="s">
        <v>137</v>
      </c>
      <c r="O17" s="20" t="s">
        <v>22</v>
      </c>
      <c r="P17" s="19" t="s">
        <v>136</v>
      </c>
      <c r="Q17" s="17" t="s">
        <v>138</v>
      </c>
      <c r="R17" s="17" t="s">
        <v>139</v>
      </c>
      <c r="S17" s="17" t="s">
        <v>172</v>
      </c>
      <c r="T17" s="17" t="s">
        <v>141</v>
      </c>
      <c r="U17" s="21" t="s">
        <v>136</v>
      </c>
      <c r="V17" s="17" t="s">
        <v>142</v>
      </c>
    </row>
    <row r="18" spans="1:22" ht="25.5" x14ac:dyDescent="0.25">
      <c r="A18" s="22" t="s">
        <v>630</v>
      </c>
      <c r="B18" s="23" t="s">
        <v>180</v>
      </c>
      <c r="C18" s="22" t="s">
        <v>173</v>
      </c>
      <c r="D18" s="23">
        <v>1</v>
      </c>
      <c r="E18" s="22" t="s">
        <v>162</v>
      </c>
      <c r="F18" s="22" t="s">
        <v>169</v>
      </c>
      <c r="G18" s="22" t="s">
        <v>170</v>
      </c>
      <c r="H18" s="22" t="s">
        <v>171</v>
      </c>
      <c r="I18" s="22" t="s">
        <v>135</v>
      </c>
      <c r="J18" s="19" t="s">
        <v>136</v>
      </c>
      <c r="K18" s="19" t="s">
        <v>136</v>
      </c>
      <c r="L18" s="19" t="s">
        <v>136</v>
      </c>
      <c r="M18" s="22" t="s">
        <v>137</v>
      </c>
      <c r="N18" s="23" t="s">
        <v>137</v>
      </c>
      <c r="O18" s="20" t="s">
        <v>22</v>
      </c>
      <c r="P18" s="19" t="s">
        <v>136</v>
      </c>
      <c r="Q18" s="22" t="s">
        <v>138</v>
      </c>
      <c r="R18" s="22" t="s">
        <v>139</v>
      </c>
      <c r="S18" s="22" t="s">
        <v>172</v>
      </c>
      <c r="T18" s="22" t="s">
        <v>141</v>
      </c>
      <c r="U18" s="25" t="s">
        <v>136</v>
      </c>
      <c r="V18" s="22" t="s">
        <v>142</v>
      </c>
    </row>
    <row r="19" spans="1:22" ht="25.5" x14ac:dyDescent="0.25">
      <c r="A19" s="17" t="s">
        <v>630</v>
      </c>
      <c r="B19" s="18" t="s">
        <v>180</v>
      </c>
      <c r="C19" s="17" t="s">
        <v>197</v>
      </c>
      <c r="D19" s="18">
        <v>2</v>
      </c>
      <c r="E19" s="17" t="s">
        <v>162</v>
      </c>
      <c r="F19" s="17" t="s">
        <v>176</v>
      </c>
      <c r="G19" s="17" t="s">
        <v>177</v>
      </c>
      <c r="H19" s="17" t="s">
        <v>178</v>
      </c>
      <c r="I19" s="17" t="s">
        <v>135</v>
      </c>
      <c r="J19" s="19" t="s">
        <v>136</v>
      </c>
      <c r="K19" s="19" t="s">
        <v>136</v>
      </c>
      <c r="L19" s="19" t="s">
        <v>136</v>
      </c>
      <c r="M19" s="17" t="s">
        <v>137</v>
      </c>
      <c r="N19" s="18" t="s">
        <v>137</v>
      </c>
      <c r="O19" s="20" t="s">
        <v>22</v>
      </c>
      <c r="P19" s="19" t="s">
        <v>136</v>
      </c>
      <c r="Q19" s="17" t="s">
        <v>138</v>
      </c>
      <c r="R19" s="17" t="s">
        <v>139</v>
      </c>
      <c r="S19" s="17" t="s">
        <v>179</v>
      </c>
      <c r="T19" s="17" t="s">
        <v>141</v>
      </c>
      <c r="U19" s="21" t="s">
        <v>136</v>
      </c>
      <c r="V19" s="17" t="s">
        <v>142</v>
      </c>
    </row>
    <row r="20" spans="1:22" ht="25.5" x14ac:dyDescent="0.25">
      <c r="A20" s="22" t="s">
        <v>630</v>
      </c>
      <c r="B20" s="23" t="s">
        <v>198</v>
      </c>
      <c r="C20" s="22" t="s">
        <v>200</v>
      </c>
      <c r="D20" s="23">
        <v>3</v>
      </c>
      <c r="E20" s="22" t="s">
        <v>131</v>
      </c>
      <c r="F20" s="22" t="s">
        <v>132</v>
      </c>
      <c r="G20" s="22" t="s">
        <v>133</v>
      </c>
      <c r="H20" s="22" t="s">
        <v>134</v>
      </c>
      <c r="I20" s="22" t="s">
        <v>135</v>
      </c>
      <c r="J20" s="19" t="s">
        <v>136</v>
      </c>
      <c r="K20" s="19" t="s">
        <v>136</v>
      </c>
      <c r="L20" s="19" t="s">
        <v>136</v>
      </c>
      <c r="M20" s="22" t="s">
        <v>137</v>
      </c>
      <c r="N20" s="23" t="s">
        <v>137</v>
      </c>
      <c r="O20" s="20" t="s">
        <v>22</v>
      </c>
      <c r="P20" s="19" t="s">
        <v>136</v>
      </c>
      <c r="Q20" s="22" t="s">
        <v>138</v>
      </c>
      <c r="R20" s="22" t="s">
        <v>139</v>
      </c>
      <c r="S20" s="22" t="s">
        <v>140</v>
      </c>
      <c r="T20" s="22" t="s">
        <v>141</v>
      </c>
      <c r="U20" s="25" t="s">
        <v>136</v>
      </c>
      <c r="V20" s="22" t="s">
        <v>142</v>
      </c>
    </row>
    <row r="21" spans="1:22" ht="25.5" x14ac:dyDescent="0.25">
      <c r="A21" s="17" t="s">
        <v>630</v>
      </c>
      <c r="B21" s="18" t="s">
        <v>198</v>
      </c>
      <c r="C21" s="17" t="s">
        <v>201</v>
      </c>
      <c r="D21" s="18">
        <v>4</v>
      </c>
      <c r="E21" s="17" t="s">
        <v>131</v>
      </c>
      <c r="F21" s="17" t="s">
        <v>184</v>
      </c>
      <c r="G21" s="17" t="s">
        <v>185</v>
      </c>
      <c r="H21" s="17" t="s">
        <v>186</v>
      </c>
      <c r="I21" s="17" t="s">
        <v>147</v>
      </c>
      <c r="J21" s="19" t="s">
        <v>136</v>
      </c>
      <c r="K21" s="19" t="s">
        <v>136</v>
      </c>
      <c r="L21" s="19" t="s">
        <v>136</v>
      </c>
      <c r="M21" s="17" t="s">
        <v>137</v>
      </c>
      <c r="N21" s="18" t="s">
        <v>137</v>
      </c>
      <c r="O21" s="20" t="s">
        <v>22</v>
      </c>
      <c r="P21" s="24" t="s">
        <v>148</v>
      </c>
      <c r="Q21" s="17" t="s">
        <v>187</v>
      </c>
      <c r="R21" s="17" t="s">
        <v>139</v>
      </c>
      <c r="S21" s="17" t="s">
        <v>188</v>
      </c>
      <c r="T21" s="17" t="s">
        <v>141</v>
      </c>
      <c r="U21" s="21" t="s">
        <v>136</v>
      </c>
      <c r="V21" s="17" t="s">
        <v>142</v>
      </c>
    </row>
    <row r="22" spans="1:22" ht="25.5" x14ac:dyDescent="0.25">
      <c r="A22" s="22" t="s">
        <v>630</v>
      </c>
      <c r="B22" s="23" t="s">
        <v>198</v>
      </c>
      <c r="C22" s="22" t="s">
        <v>199</v>
      </c>
      <c r="D22" s="23">
        <v>3</v>
      </c>
      <c r="E22" s="22" t="s">
        <v>190</v>
      </c>
      <c r="F22" s="22" t="s">
        <v>132</v>
      </c>
      <c r="G22" s="22" t="s">
        <v>133</v>
      </c>
      <c r="H22" s="22" t="s">
        <v>134</v>
      </c>
      <c r="I22" s="22" t="s">
        <v>135</v>
      </c>
      <c r="J22" s="19" t="s">
        <v>136</v>
      </c>
      <c r="K22" s="19" t="s">
        <v>136</v>
      </c>
      <c r="L22" s="19" t="s">
        <v>136</v>
      </c>
      <c r="M22" s="22" t="s">
        <v>137</v>
      </c>
      <c r="N22" s="23" t="s">
        <v>137</v>
      </c>
      <c r="O22" s="20" t="s">
        <v>22</v>
      </c>
      <c r="P22" s="19" t="s">
        <v>136</v>
      </c>
      <c r="Q22" s="22" t="s">
        <v>138</v>
      </c>
      <c r="R22" s="22" t="s">
        <v>139</v>
      </c>
      <c r="S22" s="22" t="s">
        <v>140</v>
      </c>
      <c r="T22" s="22" t="s">
        <v>141</v>
      </c>
      <c r="U22" s="25" t="s">
        <v>136</v>
      </c>
      <c r="V22" s="22" t="s">
        <v>142</v>
      </c>
    </row>
    <row r="23" spans="1:22" ht="25.5" x14ac:dyDescent="0.25">
      <c r="A23" s="17" t="s">
        <v>630</v>
      </c>
      <c r="B23" s="18" t="s">
        <v>198</v>
      </c>
      <c r="C23" s="17" t="s">
        <v>633</v>
      </c>
      <c r="D23" s="18">
        <v>3</v>
      </c>
      <c r="E23" s="17" t="s">
        <v>190</v>
      </c>
      <c r="F23" s="17" t="s">
        <v>191</v>
      </c>
      <c r="G23" s="17" t="s">
        <v>192</v>
      </c>
      <c r="H23" s="17" t="s">
        <v>193</v>
      </c>
      <c r="I23" s="17" t="s">
        <v>135</v>
      </c>
      <c r="J23" s="19" t="s">
        <v>136</v>
      </c>
      <c r="K23" s="19" t="s">
        <v>136</v>
      </c>
      <c r="L23" s="19" t="s">
        <v>136</v>
      </c>
      <c r="M23" s="17" t="s">
        <v>137</v>
      </c>
      <c r="N23" s="18" t="s">
        <v>137</v>
      </c>
      <c r="O23" s="20" t="s">
        <v>22</v>
      </c>
      <c r="P23" s="19" t="s">
        <v>136</v>
      </c>
      <c r="Q23" s="17" t="s">
        <v>138</v>
      </c>
      <c r="R23" s="17" t="s">
        <v>139</v>
      </c>
      <c r="S23" s="17" t="s">
        <v>194</v>
      </c>
      <c r="T23" s="17" t="s">
        <v>141</v>
      </c>
      <c r="U23" s="21" t="s">
        <v>136</v>
      </c>
      <c r="V23" s="17" t="s">
        <v>142</v>
      </c>
    </row>
    <row r="24" spans="1:22" ht="25.5" x14ac:dyDescent="0.25">
      <c r="A24" s="22" t="s">
        <v>630</v>
      </c>
      <c r="B24" s="23" t="s">
        <v>198</v>
      </c>
      <c r="C24" s="22" t="s">
        <v>196</v>
      </c>
      <c r="D24" s="23">
        <v>1</v>
      </c>
      <c r="E24" s="22" t="s">
        <v>162</v>
      </c>
      <c r="F24" s="22" t="s">
        <v>169</v>
      </c>
      <c r="G24" s="22" t="s">
        <v>170</v>
      </c>
      <c r="H24" s="22" t="s">
        <v>171</v>
      </c>
      <c r="I24" s="22" t="s">
        <v>135</v>
      </c>
      <c r="J24" s="19" t="s">
        <v>136</v>
      </c>
      <c r="K24" s="19" t="s">
        <v>136</v>
      </c>
      <c r="L24" s="19" t="s">
        <v>136</v>
      </c>
      <c r="M24" s="22" t="s">
        <v>137</v>
      </c>
      <c r="N24" s="23" t="s">
        <v>137</v>
      </c>
      <c r="O24" s="20" t="s">
        <v>22</v>
      </c>
      <c r="P24" s="19" t="s">
        <v>136</v>
      </c>
      <c r="Q24" s="22" t="s">
        <v>138</v>
      </c>
      <c r="R24" s="22" t="s">
        <v>139</v>
      </c>
      <c r="S24" s="22" t="s">
        <v>172</v>
      </c>
      <c r="T24" s="22" t="s">
        <v>141</v>
      </c>
      <c r="U24" s="25" t="s">
        <v>136</v>
      </c>
      <c r="V24" s="22" t="s">
        <v>142</v>
      </c>
    </row>
    <row r="25" spans="1:22" ht="25.5" x14ac:dyDescent="0.25">
      <c r="A25" s="17" t="s">
        <v>630</v>
      </c>
      <c r="B25" s="18" t="s">
        <v>198</v>
      </c>
      <c r="C25" s="17" t="s">
        <v>195</v>
      </c>
      <c r="D25" s="18">
        <v>2</v>
      </c>
      <c r="E25" s="17" t="s">
        <v>162</v>
      </c>
      <c r="F25" s="17" t="s">
        <v>163</v>
      </c>
      <c r="G25" s="17" t="s">
        <v>164</v>
      </c>
      <c r="H25" s="17" t="s">
        <v>165</v>
      </c>
      <c r="I25" s="17" t="s">
        <v>136</v>
      </c>
      <c r="J25" s="19" t="s">
        <v>136</v>
      </c>
      <c r="K25" s="19" t="s">
        <v>136</v>
      </c>
      <c r="L25" s="19" t="s">
        <v>136</v>
      </c>
      <c r="M25" s="17" t="s">
        <v>137</v>
      </c>
      <c r="N25" s="18" t="s">
        <v>137</v>
      </c>
      <c r="O25" s="20" t="s">
        <v>22</v>
      </c>
      <c r="P25" s="19" t="s">
        <v>136</v>
      </c>
      <c r="Q25" s="17" t="s">
        <v>138</v>
      </c>
      <c r="R25" s="17" t="s">
        <v>139</v>
      </c>
      <c r="S25" s="17" t="s">
        <v>166</v>
      </c>
      <c r="T25" s="17" t="s">
        <v>141</v>
      </c>
      <c r="U25" s="21" t="s">
        <v>136</v>
      </c>
      <c r="V25" s="17" t="s">
        <v>142</v>
      </c>
    </row>
    <row r="26" spans="1:22" ht="25.5" x14ac:dyDescent="0.25">
      <c r="A26" s="22" t="s">
        <v>630</v>
      </c>
      <c r="B26" s="23" t="s">
        <v>198</v>
      </c>
      <c r="C26" s="22" t="s">
        <v>213</v>
      </c>
      <c r="D26" s="23">
        <v>2</v>
      </c>
      <c r="E26" s="22" t="s">
        <v>162</v>
      </c>
      <c r="F26" s="22" t="s">
        <v>176</v>
      </c>
      <c r="G26" s="22" t="s">
        <v>177</v>
      </c>
      <c r="H26" s="22" t="s">
        <v>178</v>
      </c>
      <c r="I26" s="22" t="s">
        <v>135</v>
      </c>
      <c r="J26" s="19" t="s">
        <v>136</v>
      </c>
      <c r="K26" s="19" t="s">
        <v>136</v>
      </c>
      <c r="L26" s="19" t="s">
        <v>136</v>
      </c>
      <c r="M26" s="22" t="s">
        <v>137</v>
      </c>
      <c r="N26" s="23" t="s">
        <v>137</v>
      </c>
      <c r="O26" s="20" t="s">
        <v>22</v>
      </c>
      <c r="P26" s="19" t="s">
        <v>136</v>
      </c>
      <c r="Q26" s="22" t="s">
        <v>138</v>
      </c>
      <c r="R26" s="22" t="s">
        <v>139</v>
      </c>
      <c r="S26" s="22" t="s">
        <v>179</v>
      </c>
      <c r="T26" s="22" t="s">
        <v>141</v>
      </c>
      <c r="U26" s="25" t="s">
        <v>136</v>
      </c>
      <c r="V26" s="22" t="s">
        <v>142</v>
      </c>
    </row>
    <row r="27" spans="1:22" ht="25.5" x14ac:dyDescent="0.25">
      <c r="A27" s="17" t="s">
        <v>630</v>
      </c>
      <c r="B27" s="18" t="s">
        <v>214</v>
      </c>
      <c r="C27" s="17" t="s">
        <v>555</v>
      </c>
      <c r="D27" s="18">
        <v>3</v>
      </c>
      <c r="E27" s="17" t="s">
        <v>131</v>
      </c>
      <c r="F27" s="17" t="s">
        <v>132</v>
      </c>
      <c r="G27" s="17" t="s">
        <v>133</v>
      </c>
      <c r="H27" s="17" t="s">
        <v>134</v>
      </c>
      <c r="I27" s="17" t="s">
        <v>135</v>
      </c>
      <c r="J27" s="19" t="s">
        <v>136</v>
      </c>
      <c r="K27" s="19" t="s">
        <v>136</v>
      </c>
      <c r="L27" s="19" t="s">
        <v>136</v>
      </c>
      <c r="M27" s="17" t="s">
        <v>137</v>
      </c>
      <c r="N27" s="18" t="s">
        <v>137</v>
      </c>
      <c r="O27" s="20" t="s">
        <v>22</v>
      </c>
      <c r="P27" s="19" t="s">
        <v>136</v>
      </c>
      <c r="Q27" s="17" t="s">
        <v>138</v>
      </c>
      <c r="R27" s="17" t="s">
        <v>139</v>
      </c>
      <c r="S27" s="17" t="s">
        <v>140</v>
      </c>
      <c r="T27" s="17" t="s">
        <v>141</v>
      </c>
      <c r="U27" s="21" t="s">
        <v>136</v>
      </c>
      <c r="V27" s="17" t="s">
        <v>142</v>
      </c>
    </row>
    <row r="28" spans="1:22" ht="25.5" x14ac:dyDescent="0.25">
      <c r="A28" s="22" t="s">
        <v>630</v>
      </c>
      <c r="B28" s="23" t="s">
        <v>214</v>
      </c>
      <c r="C28" s="22" t="s">
        <v>602</v>
      </c>
      <c r="D28" s="23">
        <v>3</v>
      </c>
      <c r="E28" s="22" t="s">
        <v>190</v>
      </c>
      <c r="F28" s="22" t="s">
        <v>184</v>
      </c>
      <c r="G28" s="22" t="s">
        <v>185</v>
      </c>
      <c r="H28" s="22" t="s">
        <v>186</v>
      </c>
      <c r="I28" s="22" t="s">
        <v>147</v>
      </c>
      <c r="J28" s="19" t="s">
        <v>136</v>
      </c>
      <c r="K28" s="19" t="s">
        <v>136</v>
      </c>
      <c r="L28" s="19" t="s">
        <v>136</v>
      </c>
      <c r="M28" s="22" t="s">
        <v>137</v>
      </c>
      <c r="N28" s="23" t="s">
        <v>137</v>
      </c>
      <c r="O28" s="20" t="s">
        <v>22</v>
      </c>
      <c r="P28" s="24" t="s">
        <v>148</v>
      </c>
      <c r="Q28" s="22" t="s">
        <v>187</v>
      </c>
      <c r="R28" s="22" t="s">
        <v>139</v>
      </c>
      <c r="S28" s="22" t="s">
        <v>188</v>
      </c>
      <c r="T28" s="22" t="s">
        <v>141</v>
      </c>
      <c r="U28" s="25" t="s">
        <v>136</v>
      </c>
      <c r="V28" s="22" t="s">
        <v>142</v>
      </c>
    </row>
    <row r="29" spans="1:22" ht="25.5" x14ac:dyDescent="0.25">
      <c r="A29" s="17" t="s">
        <v>630</v>
      </c>
      <c r="B29" s="18" t="s">
        <v>214</v>
      </c>
      <c r="C29" s="17" t="s">
        <v>243</v>
      </c>
      <c r="D29" s="18">
        <v>1</v>
      </c>
      <c r="E29" s="17" t="s">
        <v>190</v>
      </c>
      <c r="F29" s="17" t="s">
        <v>163</v>
      </c>
      <c r="G29" s="17" t="s">
        <v>164</v>
      </c>
      <c r="H29" s="17" t="s">
        <v>165</v>
      </c>
      <c r="I29" s="17" t="s">
        <v>136</v>
      </c>
      <c r="J29" s="19" t="s">
        <v>136</v>
      </c>
      <c r="K29" s="19" t="s">
        <v>136</v>
      </c>
      <c r="L29" s="19" t="s">
        <v>136</v>
      </c>
      <c r="M29" s="17" t="s">
        <v>137</v>
      </c>
      <c r="N29" s="18" t="s">
        <v>137</v>
      </c>
      <c r="O29" s="20" t="s">
        <v>22</v>
      </c>
      <c r="P29" s="19" t="s">
        <v>136</v>
      </c>
      <c r="Q29" s="17" t="s">
        <v>138</v>
      </c>
      <c r="R29" s="17" t="s">
        <v>139</v>
      </c>
      <c r="S29" s="17" t="s">
        <v>166</v>
      </c>
      <c r="T29" s="17" t="s">
        <v>141</v>
      </c>
      <c r="U29" s="21" t="s">
        <v>136</v>
      </c>
      <c r="V29" s="17" t="s">
        <v>142</v>
      </c>
    </row>
    <row r="30" spans="1:22" ht="25.5" x14ac:dyDescent="0.25">
      <c r="A30" s="22" t="s">
        <v>630</v>
      </c>
      <c r="B30" s="23" t="s">
        <v>214</v>
      </c>
      <c r="C30" s="22" t="s">
        <v>634</v>
      </c>
      <c r="D30" s="23">
        <v>3</v>
      </c>
      <c r="E30" s="22" t="s">
        <v>190</v>
      </c>
      <c r="F30" s="22" t="s">
        <v>184</v>
      </c>
      <c r="G30" s="22" t="s">
        <v>185</v>
      </c>
      <c r="H30" s="22" t="s">
        <v>186</v>
      </c>
      <c r="I30" s="22" t="s">
        <v>147</v>
      </c>
      <c r="J30" s="19" t="s">
        <v>136</v>
      </c>
      <c r="K30" s="19" t="s">
        <v>136</v>
      </c>
      <c r="L30" s="19" t="s">
        <v>136</v>
      </c>
      <c r="M30" s="22" t="s">
        <v>137</v>
      </c>
      <c r="N30" s="23" t="s">
        <v>137</v>
      </c>
      <c r="O30" s="20" t="s">
        <v>22</v>
      </c>
      <c r="P30" s="24" t="s">
        <v>148</v>
      </c>
      <c r="Q30" s="22" t="s">
        <v>187</v>
      </c>
      <c r="R30" s="22" t="s">
        <v>139</v>
      </c>
      <c r="S30" s="22" t="s">
        <v>188</v>
      </c>
      <c r="T30" s="22" t="s">
        <v>141</v>
      </c>
      <c r="U30" s="25" t="s">
        <v>136</v>
      </c>
      <c r="V30" s="22" t="s">
        <v>142</v>
      </c>
    </row>
    <row r="31" spans="1:22" ht="25.5" x14ac:dyDescent="0.25">
      <c r="A31" s="17" t="s">
        <v>630</v>
      </c>
      <c r="B31" s="18" t="s">
        <v>214</v>
      </c>
      <c r="C31" s="17" t="s">
        <v>635</v>
      </c>
      <c r="D31" s="18">
        <v>3</v>
      </c>
      <c r="E31" s="17" t="s">
        <v>190</v>
      </c>
      <c r="F31" s="17" t="s">
        <v>191</v>
      </c>
      <c r="G31" s="17" t="s">
        <v>192</v>
      </c>
      <c r="H31" s="17" t="s">
        <v>193</v>
      </c>
      <c r="I31" s="17" t="s">
        <v>135</v>
      </c>
      <c r="J31" s="19" t="s">
        <v>136</v>
      </c>
      <c r="K31" s="19" t="s">
        <v>136</v>
      </c>
      <c r="L31" s="19" t="s">
        <v>136</v>
      </c>
      <c r="M31" s="17" t="s">
        <v>137</v>
      </c>
      <c r="N31" s="18" t="s">
        <v>137</v>
      </c>
      <c r="O31" s="20" t="s">
        <v>22</v>
      </c>
      <c r="P31" s="19" t="s">
        <v>136</v>
      </c>
      <c r="Q31" s="17" t="s">
        <v>138</v>
      </c>
      <c r="R31" s="17" t="s">
        <v>139</v>
      </c>
      <c r="S31" s="17" t="s">
        <v>194</v>
      </c>
      <c r="T31" s="17" t="s">
        <v>141</v>
      </c>
      <c r="U31" s="21" t="s">
        <v>136</v>
      </c>
      <c r="V31" s="17" t="s">
        <v>142</v>
      </c>
    </row>
    <row r="32" spans="1:22" ht="25.5" x14ac:dyDescent="0.25">
      <c r="A32" s="22" t="s">
        <v>630</v>
      </c>
      <c r="B32" s="23" t="s">
        <v>214</v>
      </c>
      <c r="C32" s="22" t="s">
        <v>636</v>
      </c>
      <c r="D32" s="23">
        <v>3</v>
      </c>
      <c r="E32" s="22" t="s">
        <v>162</v>
      </c>
      <c r="F32" s="22" t="s">
        <v>191</v>
      </c>
      <c r="G32" s="22" t="s">
        <v>192</v>
      </c>
      <c r="H32" s="22" t="s">
        <v>193</v>
      </c>
      <c r="I32" s="22" t="s">
        <v>135</v>
      </c>
      <c r="J32" s="19" t="s">
        <v>136</v>
      </c>
      <c r="K32" s="19" t="s">
        <v>136</v>
      </c>
      <c r="L32" s="19" t="s">
        <v>136</v>
      </c>
      <c r="M32" s="22" t="s">
        <v>137</v>
      </c>
      <c r="N32" s="23" t="s">
        <v>137</v>
      </c>
      <c r="O32" s="20" t="s">
        <v>22</v>
      </c>
      <c r="P32" s="19" t="s">
        <v>136</v>
      </c>
      <c r="Q32" s="22" t="s">
        <v>138</v>
      </c>
      <c r="R32" s="22" t="s">
        <v>139</v>
      </c>
      <c r="S32" s="22" t="s">
        <v>194</v>
      </c>
      <c r="T32" s="22" t="s">
        <v>141</v>
      </c>
      <c r="U32" s="25" t="s">
        <v>136</v>
      </c>
      <c r="V32" s="22" t="s">
        <v>142</v>
      </c>
    </row>
    <row r="33" spans="1:22" ht="25.5" x14ac:dyDescent="0.25">
      <c r="A33" s="17" t="s">
        <v>630</v>
      </c>
      <c r="B33" s="18" t="s">
        <v>214</v>
      </c>
      <c r="C33" s="17" t="s">
        <v>244</v>
      </c>
      <c r="D33" s="18">
        <v>2</v>
      </c>
      <c r="E33" s="17" t="s">
        <v>162</v>
      </c>
      <c r="F33" s="17" t="s">
        <v>176</v>
      </c>
      <c r="G33" s="17" t="s">
        <v>177</v>
      </c>
      <c r="H33" s="17" t="s">
        <v>178</v>
      </c>
      <c r="I33" s="17" t="s">
        <v>135</v>
      </c>
      <c r="J33" s="19" t="s">
        <v>136</v>
      </c>
      <c r="K33" s="19" t="s">
        <v>136</v>
      </c>
      <c r="L33" s="19" t="s">
        <v>136</v>
      </c>
      <c r="M33" s="17" t="s">
        <v>137</v>
      </c>
      <c r="N33" s="18" t="s">
        <v>137</v>
      </c>
      <c r="O33" s="20" t="s">
        <v>22</v>
      </c>
      <c r="P33" s="19" t="s">
        <v>136</v>
      </c>
      <c r="Q33" s="17" t="s">
        <v>138</v>
      </c>
      <c r="R33" s="17" t="s">
        <v>139</v>
      </c>
      <c r="S33" s="17" t="s">
        <v>179</v>
      </c>
      <c r="T33" s="17" t="s">
        <v>141</v>
      </c>
      <c r="U33" s="21" t="s">
        <v>136</v>
      </c>
      <c r="V33" s="17" t="s">
        <v>142</v>
      </c>
    </row>
    <row r="34" spans="1:22" ht="25.5" x14ac:dyDescent="0.25">
      <c r="A34" s="22" t="s">
        <v>630</v>
      </c>
      <c r="B34" s="23" t="s">
        <v>245</v>
      </c>
      <c r="C34" s="22" t="s">
        <v>523</v>
      </c>
      <c r="D34" s="23">
        <v>3</v>
      </c>
      <c r="E34" s="22" t="s">
        <v>152</v>
      </c>
      <c r="F34" s="22" t="s">
        <v>191</v>
      </c>
      <c r="G34" s="22" t="s">
        <v>192</v>
      </c>
      <c r="H34" s="22" t="s">
        <v>193</v>
      </c>
      <c r="I34" s="22" t="s">
        <v>135</v>
      </c>
      <c r="J34" s="19" t="s">
        <v>136</v>
      </c>
      <c r="K34" s="19" t="s">
        <v>136</v>
      </c>
      <c r="L34" s="19" t="s">
        <v>136</v>
      </c>
      <c r="M34" s="22" t="s">
        <v>137</v>
      </c>
      <c r="N34" s="23" t="s">
        <v>137</v>
      </c>
      <c r="O34" s="20" t="s">
        <v>22</v>
      </c>
      <c r="P34" s="19" t="s">
        <v>136</v>
      </c>
      <c r="Q34" s="22" t="s">
        <v>138</v>
      </c>
      <c r="R34" s="22" t="s">
        <v>139</v>
      </c>
      <c r="S34" s="22" t="s">
        <v>194</v>
      </c>
      <c r="T34" s="22" t="s">
        <v>141</v>
      </c>
      <c r="U34" s="25" t="s">
        <v>136</v>
      </c>
      <c r="V34" s="22" t="s">
        <v>142</v>
      </c>
    </row>
    <row r="35" spans="1:22" ht="25.5" x14ac:dyDescent="0.25">
      <c r="A35" s="17" t="s">
        <v>630</v>
      </c>
      <c r="B35" s="18" t="s">
        <v>245</v>
      </c>
      <c r="C35" s="17" t="s">
        <v>637</v>
      </c>
      <c r="D35" s="18">
        <v>3</v>
      </c>
      <c r="E35" s="17" t="s">
        <v>190</v>
      </c>
      <c r="F35" s="17" t="s">
        <v>184</v>
      </c>
      <c r="G35" s="17" t="s">
        <v>185</v>
      </c>
      <c r="H35" s="17" t="s">
        <v>186</v>
      </c>
      <c r="I35" s="17" t="s">
        <v>147</v>
      </c>
      <c r="J35" s="19" t="s">
        <v>136</v>
      </c>
      <c r="K35" s="19" t="s">
        <v>136</v>
      </c>
      <c r="L35" s="19" t="s">
        <v>136</v>
      </c>
      <c r="M35" s="17" t="s">
        <v>137</v>
      </c>
      <c r="N35" s="18" t="s">
        <v>137</v>
      </c>
      <c r="O35" s="20" t="s">
        <v>22</v>
      </c>
      <c r="P35" s="24" t="s">
        <v>148</v>
      </c>
      <c r="Q35" s="17" t="s">
        <v>187</v>
      </c>
      <c r="R35" s="17" t="s">
        <v>139</v>
      </c>
      <c r="S35" s="17" t="s">
        <v>188</v>
      </c>
      <c r="T35" s="17" t="s">
        <v>141</v>
      </c>
      <c r="U35" s="21" t="s">
        <v>136</v>
      </c>
      <c r="V35" s="17" t="s">
        <v>142</v>
      </c>
    </row>
    <row r="36" spans="1:22" ht="25.5" x14ac:dyDescent="0.25">
      <c r="A36" s="22" t="s">
        <v>630</v>
      </c>
      <c r="B36" s="23" t="s">
        <v>245</v>
      </c>
      <c r="C36" s="22" t="s">
        <v>638</v>
      </c>
      <c r="D36" s="23">
        <v>3</v>
      </c>
      <c r="E36" s="22" t="s">
        <v>190</v>
      </c>
      <c r="F36" s="22" t="s">
        <v>191</v>
      </c>
      <c r="G36" s="22" t="s">
        <v>192</v>
      </c>
      <c r="H36" s="22" t="s">
        <v>193</v>
      </c>
      <c r="I36" s="22" t="s">
        <v>135</v>
      </c>
      <c r="J36" s="19" t="s">
        <v>136</v>
      </c>
      <c r="K36" s="19" t="s">
        <v>136</v>
      </c>
      <c r="L36" s="19" t="s">
        <v>136</v>
      </c>
      <c r="M36" s="22" t="s">
        <v>137</v>
      </c>
      <c r="N36" s="23" t="s">
        <v>137</v>
      </c>
      <c r="O36" s="20" t="s">
        <v>22</v>
      </c>
      <c r="P36" s="19" t="s">
        <v>136</v>
      </c>
      <c r="Q36" s="22" t="s">
        <v>138</v>
      </c>
      <c r="R36" s="22" t="s">
        <v>139</v>
      </c>
      <c r="S36" s="22" t="s">
        <v>194</v>
      </c>
      <c r="T36" s="22" t="s">
        <v>141</v>
      </c>
      <c r="U36" s="25" t="s">
        <v>136</v>
      </c>
      <c r="V36" s="22" t="s">
        <v>142</v>
      </c>
    </row>
    <row r="37" spans="1:22" ht="25.5" x14ac:dyDescent="0.25">
      <c r="A37" s="17" t="s">
        <v>630</v>
      </c>
      <c r="B37" s="18" t="s">
        <v>245</v>
      </c>
      <c r="C37" s="17" t="s">
        <v>639</v>
      </c>
      <c r="D37" s="18">
        <v>3</v>
      </c>
      <c r="E37" s="17" t="s">
        <v>152</v>
      </c>
      <c r="F37" s="17" t="s">
        <v>379</v>
      </c>
      <c r="G37" s="17" t="s">
        <v>380</v>
      </c>
      <c r="H37" s="17" t="s">
        <v>381</v>
      </c>
      <c r="I37" s="17" t="s">
        <v>135</v>
      </c>
      <c r="J37" s="19" t="s">
        <v>136</v>
      </c>
      <c r="K37" s="19" t="s">
        <v>136</v>
      </c>
      <c r="L37" s="19" t="s">
        <v>136</v>
      </c>
      <c r="M37" s="17" t="s">
        <v>137</v>
      </c>
      <c r="N37" s="18" t="s">
        <v>137</v>
      </c>
      <c r="O37" s="20" t="s">
        <v>22</v>
      </c>
      <c r="P37" s="19" t="s">
        <v>136</v>
      </c>
      <c r="Q37" s="17" t="s">
        <v>138</v>
      </c>
      <c r="R37" s="17" t="s">
        <v>139</v>
      </c>
      <c r="S37" s="17" t="s">
        <v>382</v>
      </c>
      <c r="T37" s="17" t="s">
        <v>141</v>
      </c>
      <c r="U37" s="21" t="s">
        <v>136</v>
      </c>
      <c r="V37" s="17" t="s">
        <v>142</v>
      </c>
    </row>
    <row r="38" spans="1:22" ht="25.5" x14ac:dyDescent="0.25">
      <c r="A38" s="22" t="s">
        <v>630</v>
      </c>
      <c r="B38" s="23" t="s">
        <v>245</v>
      </c>
      <c r="C38" s="22" t="s">
        <v>640</v>
      </c>
      <c r="D38" s="23">
        <v>3</v>
      </c>
      <c r="E38" s="22" t="s">
        <v>152</v>
      </c>
      <c r="F38" s="22" t="s">
        <v>191</v>
      </c>
      <c r="G38" s="22" t="s">
        <v>192</v>
      </c>
      <c r="H38" s="22" t="s">
        <v>193</v>
      </c>
      <c r="I38" s="22" t="s">
        <v>135</v>
      </c>
      <c r="J38" s="19" t="s">
        <v>136</v>
      </c>
      <c r="K38" s="19" t="s">
        <v>136</v>
      </c>
      <c r="L38" s="19" t="s">
        <v>136</v>
      </c>
      <c r="M38" s="22" t="s">
        <v>137</v>
      </c>
      <c r="N38" s="23" t="s">
        <v>137</v>
      </c>
      <c r="O38" s="20" t="s">
        <v>22</v>
      </c>
      <c r="P38" s="19" t="s">
        <v>136</v>
      </c>
      <c r="Q38" s="22" t="s">
        <v>138</v>
      </c>
      <c r="R38" s="22" t="s">
        <v>139</v>
      </c>
      <c r="S38" s="22" t="s">
        <v>194</v>
      </c>
      <c r="T38" s="22" t="s">
        <v>141</v>
      </c>
      <c r="U38" s="25" t="s">
        <v>136</v>
      </c>
      <c r="V38" s="22" t="s">
        <v>142</v>
      </c>
    </row>
    <row r="39" spans="1:22" ht="25.5" x14ac:dyDescent="0.25">
      <c r="A39" s="17" t="s">
        <v>630</v>
      </c>
      <c r="B39" s="18" t="s">
        <v>245</v>
      </c>
      <c r="C39" s="17" t="s">
        <v>211</v>
      </c>
      <c r="D39" s="18">
        <v>2</v>
      </c>
      <c r="E39" s="17" t="s">
        <v>162</v>
      </c>
      <c r="F39" s="17" t="s">
        <v>163</v>
      </c>
      <c r="G39" s="17" t="s">
        <v>164</v>
      </c>
      <c r="H39" s="17" t="s">
        <v>165</v>
      </c>
      <c r="I39" s="17" t="s">
        <v>136</v>
      </c>
      <c r="J39" s="19" t="s">
        <v>136</v>
      </c>
      <c r="K39" s="19" t="s">
        <v>136</v>
      </c>
      <c r="L39" s="19" t="s">
        <v>136</v>
      </c>
      <c r="M39" s="17" t="s">
        <v>137</v>
      </c>
      <c r="N39" s="18" t="s">
        <v>137</v>
      </c>
      <c r="O39" s="20" t="s">
        <v>22</v>
      </c>
      <c r="P39" s="19" t="s">
        <v>136</v>
      </c>
      <c r="Q39" s="17" t="s">
        <v>138</v>
      </c>
      <c r="R39" s="17" t="s">
        <v>139</v>
      </c>
      <c r="S39" s="17" t="s">
        <v>166</v>
      </c>
      <c r="T39" s="17" t="s">
        <v>141</v>
      </c>
      <c r="U39" s="21" t="s">
        <v>136</v>
      </c>
      <c r="V39" s="17" t="s">
        <v>142</v>
      </c>
    </row>
    <row r="40" spans="1:22" ht="25.5" x14ac:dyDescent="0.25">
      <c r="A40" s="22" t="s">
        <v>630</v>
      </c>
      <c r="B40" s="23" t="s">
        <v>245</v>
      </c>
      <c r="C40" s="22" t="s">
        <v>284</v>
      </c>
      <c r="D40" s="23">
        <v>2</v>
      </c>
      <c r="E40" s="22" t="s">
        <v>162</v>
      </c>
      <c r="F40" s="22" t="s">
        <v>176</v>
      </c>
      <c r="G40" s="22" t="s">
        <v>177</v>
      </c>
      <c r="H40" s="22" t="s">
        <v>178</v>
      </c>
      <c r="I40" s="22" t="s">
        <v>135</v>
      </c>
      <c r="J40" s="19" t="s">
        <v>136</v>
      </c>
      <c r="K40" s="19" t="s">
        <v>136</v>
      </c>
      <c r="L40" s="19" t="s">
        <v>136</v>
      </c>
      <c r="M40" s="22" t="s">
        <v>137</v>
      </c>
      <c r="N40" s="23" t="s">
        <v>137</v>
      </c>
      <c r="O40" s="20" t="s">
        <v>22</v>
      </c>
      <c r="P40" s="19" t="s">
        <v>136</v>
      </c>
      <c r="Q40" s="22" t="s">
        <v>138</v>
      </c>
      <c r="R40" s="22" t="s">
        <v>139</v>
      </c>
      <c r="S40" s="22" t="s">
        <v>179</v>
      </c>
      <c r="T40" s="22" t="s">
        <v>141</v>
      </c>
      <c r="U40" s="25" t="s">
        <v>136</v>
      </c>
      <c r="V40" s="22" t="s">
        <v>142</v>
      </c>
    </row>
    <row r="41" spans="1:22" ht="25.5" x14ac:dyDescent="0.25">
      <c r="A41" s="17" t="s">
        <v>630</v>
      </c>
      <c r="B41" s="18" t="s">
        <v>285</v>
      </c>
      <c r="C41" s="17" t="s">
        <v>641</v>
      </c>
      <c r="D41" s="18">
        <v>3</v>
      </c>
      <c r="E41" s="17" t="s">
        <v>152</v>
      </c>
      <c r="F41" s="17" t="s">
        <v>191</v>
      </c>
      <c r="G41" s="17" t="s">
        <v>192</v>
      </c>
      <c r="H41" s="17" t="s">
        <v>193</v>
      </c>
      <c r="I41" s="17" t="s">
        <v>135</v>
      </c>
      <c r="J41" s="19" t="s">
        <v>136</v>
      </c>
      <c r="K41" s="19" t="s">
        <v>136</v>
      </c>
      <c r="L41" s="19" t="s">
        <v>136</v>
      </c>
      <c r="M41" s="17" t="s">
        <v>137</v>
      </c>
      <c r="N41" s="18" t="s">
        <v>137</v>
      </c>
      <c r="O41" s="20" t="s">
        <v>22</v>
      </c>
      <c r="P41" s="19" t="s">
        <v>136</v>
      </c>
      <c r="Q41" s="17" t="s">
        <v>138</v>
      </c>
      <c r="R41" s="17" t="s">
        <v>139</v>
      </c>
      <c r="S41" s="17" t="s">
        <v>194</v>
      </c>
      <c r="T41" s="17" t="s">
        <v>141</v>
      </c>
      <c r="U41" s="21" t="s">
        <v>136</v>
      </c>
      <c r="V41" s="17" t="s">
        <v>142</v>
      </c>
    </row>
    <row r="42" spans="1:22" ht="25.5" x14ac:dyDescent="0.25">
      <c r="A42" s="22" t="s">
        <v>630</v>
      </c>
      <c r="B42" s="23" t="s">
        <v>285</v>
      </c>
      <c r="C42" s="22" t="s">
        <v>642</v>
      </c>
      <c r="D42" s="23">
        <v>3</v>
      </c>
      <c r="E42" s="22" t="s">
        <v>152</v>
      </c>
      <c r="F42" s="22" t="s">
        <v>191</v>
      </c>
      <c r="G42" s="22" t="s">
        <v>192</v>
      </c>
      <c r="H42" s="22" t="s">
        <v>193</v>
      </c>
      <c r="I42" s="22" t="s">
        <v>135</v>
      </c>
      <c r="J42" s="19" t="s">
        <v>136</v>
      </c>
      <c r="K42" s="19" t="s">
        <v>136</v>
      </c>
      <c r="L42" s="19" t="s">
        <v>136</v>
      </c>
      <c r="M42" s="22" t="s">
        <v>137</v>
      </c>
      <c r="N42" s="23" t="s">
        <v>137</v>
      </c>
      <c r="O42" s="20" t="s">
        <v>22</v>
      </c>
      <c r="P42" s="19" t="s">
        <v>136</v>
      </c>
      <c r="Q42" s="22" t="s">
        <v>138</v>
      </c>
      <c r="R42" s="22" t="s">
        <v>139</v>
      </c>
      <c r="S42" s="22" t="s">
        <v>194</v>
      </c>
      <c r="T42" s="22" t="s">
        <v>141</v>
      </c>
      <c r="U42" s="25" t="s">
        <v>136</v>
      </c>
      <c r="V42" s="22" t="s">
        <v>142</v>
      </c>
    </row>
    <row r="43" spans="1:22" ht="51" x14ac:dyDescent="0.25">
      <c r="A43" s="17" t="s">
        <v>630</v>
      </c>
      <c r="B43" s="18" t="s">
        <v>285</v>
      </c>
      <c r="C43" s="17" t="s">
        <v>81</v>
      </c>
      <c r="D43" s="18">
        <v>2</v>
      </c>
      <c r="E43" s="17" t="s">
        <v>152</v>
      </c>
      <c r="F43" s="17" t="s">
        <v>286</v>
      </c>
      <c r="G43" s="17" t="s">
        <v>287</v>
      </c>
      <c r="H43" s="17" t="s">
        <v>288</v>
      </c>
      <c r="I43" s="17" t="s">
        <v>289</v>
      </c>
      <c r="J43" s="19" t="s">
        <v>136</v>
      </c>
      <c r="K43" s="24" t="s">
        <v>148</v>
      </c>
      <c r="L43" s="19" t="s">
        <v>136</v>
      </c>
      <c r="M43" s="22" t="s">
        <v>137</v>
      </c>
      <c r="N43" s="23" t="s">
        <v>137</v>
      </c>
      <c r="O43" s="20" t="s">
        <v>22</v>
      </c>
      <c r="P43" s="24" t="s">
        <v>148</v>
      </c>
      <c r="Q43" s="17" t="s">
        <v>232</v>
      </c>
      <c r="R43" s="17" t="s">
        <v>73</v>
      </c>
      <c r="S43" s="17" t="s">
        <v>292</v>
      </c>
      <c r="T43" s="17" t="s">
        <v>234</v>
      </c>
      <c r="U43" s="30" t="s">
        <v>54</v>
      </c>
      <c r="V43" s="17" t="s">
        <v>142</v>
      </c>
    </row>
    <row r="44" spans="1:22" ht="25.5" x14ac:dyDescent="0.25">
      <c r="A44" s="22" t="s">
        <v>630</v>
      </c>
      <c r="B44" s="23" t="s">
        <v>285</v>
      </c>
      <c r="C44" s="22" t="s">
        <v>643</v>
      </c>
      <c r="D44" s="23">
        <v>3</v>
      </c>
      <c r="E44" s="22" t="s">
        <v>190</v>
      </c>
      <c r="F44" s="22" t="s">
        <v>191</v>
      </c>
      <c r="G44" s="22" t="s">
        <v>192</v>
      </c>
      <c r="H44" s="22" t="s">
        <v>193</v>
      </c>
      <c r="I44" s="22" t="s">
        <v>135</v>
      </c>
      <c r="J44" s="19" t="s">
        <v>136</v>
      </c>
      <c r="K44" s="19" t="s">
        <v>136</v>
      </c>
      <c r="L44" s="19" t="s">
        <v>136</v>
      </c>
      <c r="M44" s="22" t="s">
        <v>137</v>
      </c>
      <c r="N44" s="23" t="s">
        <v>137</v>
      </c>
      <c r="O44" s="20" t="s">
        <v>22</v>
      </c>
      <c r="P44" s="19" t="s">
        <v>136</v>
      </c>
      <c r="Q44" s="22" t="s">
        <v>138</v>
      </c>
      <c r="R44" s="22" t="s">
        <v>139</v>
      </c>
      <c r="S44" s="22" t="s">
        <v>194</v>
      </c>
      <c r="T44" s="22" t="s">
        <v>141</v>
      </c>
      <c r="U44" s="25" t="s">
        <v>136</v>
      </c>
      <c r="V44" s="22" t="s">
        <v>142</v>
      </c>
    </row>
    <row r="45" spans="1:22" ht="25.5" x14ac:dyDescent="0.25">
      <c r="A45" s="17" t="s">
        <v>630</v>
      </c>
      <c r="B45" s="18" t="s">
        <v>285</v>
      </c>
      <c r="C45" s="17" t="s">
        <v>242</v>
      </c>
      <c r="D45" s="18">
        <v>2</v>
      </c>
      <c r="E45" s="17" t="s">
        <v>162</v>
      </c>
      <c r="F45" s="17" t="s">
        <v>163</v>
      </c>
      <c r="G45" s="17" t="s">
        <v>164</v>
      </c>
      <c r="H45" s="17" t="s">
        <v>165</v>
      </c>
      <c r="I45" s="17" t="s">
        <v>136</v>
      </c>
      <c r="J45" s="19" t="s">
        <v>136</v>
      </c>
      <c r="K45" s="19" t="s">
        <v>136</v>
      </c>
      <c r="L45" s="19" t="s">
        <v>136</v>
      </c>
      <c r="M45" s="17" t="s">
        <v>137</v>
      </c>
      <c r="N45" s="18" t="s">
        <v>137</v>
      </c>
      <c r="O45" s="20" t="s">
        <v>22</v>
      </c>
      <c r="P45" s="19" t="s">
        <v>136</v>
      </c>
      <c r="Q45" s="17" t="s">
        <v>138</v>
      </c>
      <c r="R45" s="17" t="s">
        <v>139</v>
      </c>
      <c r="S45" s="17" t="s">
        <v>166</v>
      </c>
      <c r="T45" s="17" t="s">
        <v>141</v>
      </c>
      <c r="U45" s="21" t="s">
        <v>136</v>
      </c>
      <c r="V45" s="17" t="s">
        <v>142</v>
      </c>
    </row>
    <row r="46" spans="1:22" ht="25.5" x14ac:dyDescent="0.25">
      <c r="A46" s="22" t="s">
        <v>630</v>
      </c>
      <c r="B46" s="23" t="s">
        <v>285</v>
      </c>
      <c r="C46" s="22" t="s">
        <v>283</v>
      </c>
      <c r="D46" s="23">
        <v>2</v>
      </c>
      <c r="E46" s="22" t="s">
        <v>162</v>
      </c>
      <c r="F46" s="22" t="s">
        <v>163</v>
      </c>
      <c r="G46" s="22" t="s">
        <v>164</v>
      </c>
      <c r="H46" s="22" t="s">
        <v>165</v>
      </c>
      <c r="I46" s="22" t="s">
        <v>136</v>
      </c>
      <c r="J46" s="19" t="s">
        <v>136</v>
      </c>
      <c r="K46" s="19" t="s">
        <v>136</v>
      </c>
      <c r="L46" s="19" t="s">
        <v>136</v>
      </c>
      <c r="M46" s="22" t="s">
        <v>137</v>
      </c>
      <c r="N46" s="23" t="s">
        <v>137</v>
      </c>
      <c r="O46" s="20" t="s">
        <v>22</v>
      </c>
      <c r="P46" s="19" t="s">
        <v>136</v>
      </c>
      <c r="Q46" s="22" t="s">
        <v>138</v>
      </c>
      <c r="R46" s="22" t="s">
        <v>139</v>
      </c>
      <c r="S46" s="22" t="s">
        <v>166</v>
      </c>
      <c r="T46" s="22" t="s">
        <v>141</v>
      </c>
      <c r="U46" s="25" t="s">
        <v>136</v>
      </c>
      <c r="V46" s="22" t="s">
        <v>142</v>
      </c>
    </row>
    <row r="47" spans="1:22" ht="25.5" x14ac:dyDescent="0.25">
      <c r="A47" s="17" t="s">
        <v>630</v>
      </c>
      <c r="B47" s="18" t="s">
        <v>285</v>
      </c>
      <c r="C47" s="17" t="s">
        <v>212</v>
      </c>
      <c r="D47" s="18">
        <v>1</v>
      </c>
      <c r="E47" s="17" t="s">
        <v>162</v>
      </c>
      <c r="F47" s="17" t="s">
        <v>169</v>
      </c>
      <c r="G47" s="17" t="s">
        <v>170</v>
      </c>
      <c r="H47" s="17" t="s">
        <v>171</v>
      </c>
      <c r="I47" s="17" t="s">
        <v>135</v>
      </c>
      <c r="J47" s="19" t="s">
        <v>136</v>
      </c>
      <c r="K47" s="19" t="s">
        <v>136</v>
      </c>
      <c r="L47" s="19" t="s">
        <v>136</v>
      </c>
      <c r="M47" s="17" t="s">
        <v>137</v>
      </c>
      <c r="N47" s="18" t="s">
        <v>137</v>
      </c>
      <c r="O47" s="20" t="s">
        <v>22</v>
      </c>
      <c r="P47" s="19" t="s">
        <v>136</v>
      </c>
      <c r="Q47" s="17" t="s">
        <v>138</v>
      </c>
      <c r="R47" s="17" t="s">
        <v>139</v>
      </c>
      <c r="S47" s="17" t="s">
        <v>172</v>
      </c>
      <c r="T47" s="17" t="s">
        <v>141</v>
      </c>
      <c r="U47" s="21" t="s">
        <v>136</v>
      </c>
      <c r="V47" s="17" t="s">
        <v>142</v>
      </c>
    </row>
    <row r="48" spans="1:22" ht="25.5" x14ac:dyDescent="0.25">
      <c r="A48" s="22" t="s">
        <v>630</v>
      </c>
      <c r="B48" s="23" t="s">
        <v>285</v>
      </c>
      <c r="C48" s="22" t="s">
        <v>330</v>
      </c>
      <c r="D48" s="23">
        <v>1</v>
      </c>
      <c r="E48" s="22" t="s">
        <v>162</v>
      </c>
      <c r="F48" s="22" t="s">
        <v>176</v>
      </c>
      <c r="G48" s="22" t="s">
        <v>177</v>
      </c>
      <c r="H48" s="22" t="s">
        <v>178</v>
      </c>
      <c r="I48" s="22" t="s">
        <v>135</v>
      </c>
      <c r="J48" s="19" t="s">
        <v>136</v>
      </c>
      <c r="K48" s="19" t="s">
        <v>136</v>
      </c>
      <c r="L48" s="19" t="s">
        <v>136</v>
      </c>
      <c r="M48" s="22" t="s">
        <v>137</v>
      </c>
      <c r="N48" s="23" t="s">
        <v>137</v>
      </c>
      <c r="O48" s="20" t="s">
        <v>22</v>
      </c>
      <c r="P48" s="19" t="s">
        <v>136</v>
      </c>
      <c r="Q48" s="22" t="s">
        <v>138</v>
      </c>
      <c r="R48" s="22" t="s">
        <v>139</v>
      </c>
      <c r="S48" s="22" t="s">
        <v>179</v>
      </c>
      <c r="T48" s="22" t="s">
        <v>141</v>
      </c>
      <c r="U48" s="25" t="s">
        <v>136</v>
      </c>
      <c r="V48" s="22" t="s">
        <v>142</v>
      </c>
    </row>
    <row r="49" spans="1:22" ht="25.5" x14ac:dyDescent="0.25">
      <c r="A49" s="17" t="s">
        <v>630</v>
      </c>
      <c r="B49" s="18" t="s">
        <v>331</v>
      </c>
      <c r="C49" s="17" t="s">
        <v>644</v>
      </c>
      <c r="D49" s="18">
        <v>3</v>
      </c>
      <c r="E49" s="17" t="s">
        <v>152</v>
      </c>
      <c r="F49" s="17" t="s">
        <v>191</v>
      </c>
      <c r="G49" s="17" t="s">
        <v>192</v>
      </c>
      <c r="H49" s="17" t="s">
        <v>193</v>
      </c>
      <c r="I49" s="17" t="s">
        <v>135</v>
      </c>
      <c r="J49" s="19" t="s">
        <v>136</v>
      </c>
      <c r="K49" s="19" t="s">
        <v>136</v>
      </c>
      <c r="L49" s="19" t="s">
        <v>136</v>
      </c>
      <c r="M49" s="22" t="s">
        <v>137</v>
      </c>
      <c r="N49" s="23" t="s">
        <v>137</v>
      </c>
      <c r="O49" s="20" t="s">
        <v>22</v>
      </c>
      <c r="P49" s="19" t="s">
        <v>136</v>
      </c>
      <c r="Q49" s="17" t="s">
        <v>138</v>
      </c>
      <c r="R49" s="17" t="s">
        <v>139</v>
      </c>
      <c r="S49" s="17" t="s">
        <v>194</v>
      </c>
      <c r="T49" s="17" t="s">
        <v>141</v>
      </c>
      <c r="U49" s="21" t="s">
        <v>136</v>
      </c>
      <c r="V49" s="17" t="s">
        <v>142</v>
      </c>
    </row>
    <row r="50" spans="1:22" ht="25.5" x14ac:dyDescent="0.25">
      <c r="A50" s="22" t="s">
        <v>630</v>
      </c>
      <c r="B50" s="23" t="s">
        <v>331</v>
      </c>
      <c r="C50" s="22" t="s">
        <v>645</v>
      </c>
      <c r="D50" s="23">
        <v>2</v>
      </c>
      <c r="E50" s="22" t="s">
        <v>152</v>
      </c>
      <c r="F50" s="22" t="s">
        <v>191</v>
      </c>
      <c r="G50" s="22" t="s">
        <v>192</v>
      </c>
      <c r="H50" s="22" t="s">
        <v>193</v>
      </c>
      <c r="I50" s="22" t="s">
        <v>135</v>
      </c>
      <c r="J50" s="19" t="s">
        <v>136</v>
      </c>
      <c r="K50" s="19" t="s">
        <v>136</v>
      </c>
      <c r="L50" s="19" t="s">
        <v>136</v>
      </c>
      <c r="M50" s="22" t="s">
        <v>137</v>
      </c>
      <c r="N50" s="23" t="s">
        <v>137</v>
      </c>
      <c r="O50" s="20" t="s">
        <v>22</v>
      </c>
      <c r="P50" s="19" t="s">
        <v>136</v>
      </c>
      <c r="Q50" s="22" t="s">
        <v>138</v>
      </c>
      <c r="R50" s="22" t="s">
        <v>139</v>
      </c>
      <c r="S50" s="22" t="s">
        <v>194</v>
      </c>
      <c r="T50" s="22" t="s">
        <v>141</v>
      </c>
      <c r="U50" s="25" t="s">
        <v>136</v>
      </c>
      <c r="V50" s="22" t="s">
        <v>142</v>
      </c>
    </row>
    <row r="51" spans="1:22" ht="51" x14ac:dyDescent="0.25">
      <c r="A51" s="17" t="s">
        <v>630</v>
      </c>
      <c r="B51" s="18" t="s">
        <v>331</v>
      </c>
      <c r="C51" s="17" t="s">
        <v>75</v>
      </c>
      <c r="D51" s="18">
        <v>2</v>
      </c>
      <c r="E51" s="17" t="s">
        <v>152</v>
      </c>
      <c r="F51" s="17" t="s">
        <v>286</v>
      </c>
      <c r="G51" s="17" t="s">
        <v>287</v>
      </c>
      <c r="H51" s="17" t="s">
        <v>288</v>
      </c>
      <c r="I51" s="17" t="s">
        <v>289</v>
      </c>
      <c r="J51" s="19" t="s">
        <v>136</v>
      </c>
      <c r="K51" s="19" t="s">
        <v>136</v>
      </c>
      <c r="L51" s="19" t="s">
        <v>136</v>
      </c>
      <c r="M51" s="22" t="s">
        <v>137</v>
      </c>
      <c r="N51" s="23" t="s">
        <v>137</v>
      </c>
      <c r="O51" s="20" t="s">
        <v>22</v>
      </c>
      <c r="P51" s="24" t="s">
        <v>148</v>
      </c>
      <c r="Q51" s="17" t="s">
        <v>232</v>
      </c>
      <c r="R51" s="17" t="s">
        <v>73</v>
      </c>
      <c r="S51" s="17" t="s">
        <v>292</v>
      </c>
      <c r="T51" s="17" t="s">
        <v>234</v>
      </c>
      <c r="U51" s="30" t="s">
        <v>54</v>
      </c>
      <c r="V51" s="17" t="s">
        <v>142</v>
      </c>
    </row>
    <row r="52" spans="1:22" ht="25.5" x14ac:dyDescent="0.25">
      <c r="A52" s="22" t="s">
        <v>630</v>
      </c>
      <c r="B52" s="23" t="s">
        <v>331</v>
      </c>
      <c r="C52" s="22" t="s">
        <v>646</v>
      </c>
      <c r="D52" s="23">
        <v>3</v>
      </c>
      <c r="E52" s="22" t="s">
        <v>152</v>
      </c>
      <c r="F52" s="22" t="s">
        <v>191</v>
      </c>
      <c r="G52" s="22" t="s">
        <v>192</v>
      </c>
      <c r="H52" s="22" t="s">
        <v>193</v>
      </c>
      <c r="I52" s="22" t="s">
        <v>135</v>
      </c>
      <c r="J52" s="19" t="s">
        <v>136</v>
      </c>
      <c r="K52" s="19" t="s">
        <v>136</v>
      </c>
      <c r="L52" s="19" t="s">
        <v>136</v>
      </c>
      <c r="M52" s="22" t="s">
        <v>137</v>
      </c>
      <c r="N52" s="23" t="s">
        <v>137</v>
      </c>
      <c r="O52" s="20" t="s">
        <v>22</v>
      </c>
      <c r="P52" s="19" t="s">
        <v>136</v>
      </c>
      <c r="Q52" s="22" t="s">
        <v>138</v>
      </c>
      <c r="R52" s="22" t="s">
        <v>139</v>
      </c>
      <c r="S52" s="22" t="s">
        <v>194</v>
      </c>
      <c r="T52" s="22" t="s">
        <v>141</v>
      </c>
      <c r="U52" s="25" t="s">
        <v>136</v>
      </c>
      <c r="V52" s="22" t="s">
        <v>142</v>
      </c>
    </row>
    <row r="53" spans="1:22" ht="38.25" x14ac:dyDescent="0.25">
      <c r="A53" s="17" t="s">
        <v>630</v>
      </c>
      <c r="B53" s="18" t="s">
        <v>331</v>
      </c>
      <c r="C53" s="17" t="s">
        <v>647</v>
      </c>
      <c r="D53" s="18">
        <v>2</v>
      </c>
      <c r="E53" s="17" t="s">
        <v>152</v>
      </c>
      <c r="F53" s="17" t="s">
        <v>358</v>
      </c>
      <c r="G53" s="17" t="s">
        <v>359</v>
      </c>
      <c r="H53" s="17" t="s">
        <v>360</v>
      </c>
      <c r="I53" s="17" t="s">
        <v>361</v>
      </c>
      <c r="J53" s="19" t="s">
        <v>136</v>
      </c>
      <c r="K53" s="19" t="s">
        <v>136</v>
      </c>
      <c r="L53" s="19" t="s">
        <v>136</v>
      </c>
      <c r="M53" s="22" t="s">
        <v>137</v>
      </c>
      <c r="N53" s="23" t="s">
        <v>137</v>
      </c>
      <c r="O53" s="20" t="s">
        <v>22</v>
      </c>
      <c r="P53" s="24" t="s">
        <v>148</v>
      </c>
      <c r="Q53" s="17" t="s">
        <v>157</v>
      </c>
      <c r="R53" s="17" t="s">
        <v>28</v>
      </c>
      <c r="S53" s="17" t="s">
        <v>362</v>
      </c>
      <c r="T53" s="17" t="s">
        <v>234</v>
      </c>
      <c r="U53" s="30" t="s">
        <v>54</v>
      </c>
      <c r="V53" s="17" t="s">
        <v>142</v>
      </c>
    </row>
    <row r="54" spans="1:22" ht="38.25" x14ac:dyDescent="0.25">
      <c r="A54" s="22" t="s">
        <v>630</v>
      </c>
      <c r="B54" s="23" t="s">
        <v>331</v>
      </c>
      <c r="C54" s="22" t="s">
        <v>365</v>
      </c>
      <c r="D54" s="23">
        <v>2</v>
      </c>
      <c r="E54" s="22" t="s">
        <v>152</v>
      </c>
      <c r="F54" s="22" t="s">
        <v>216</v>
      </c>
      <c r="G54" s="22" t="s">
        <v>217</v>
      </c>
      <c r="H54" s="22" t="s">
        <v>217</v>
      </c>
      <c r="I54" s="22" t="s">
        <v>218</v>
      </c>
      <c r="J54" s="29" t="s">
        <v>219</v>
      </c>
      <c r="K54" s="29" t="s">
        <v>219</v>
      </c>
      <c r="L54" s="29" t="s">
        <v>219</v>
      </c>
      <c r="M54" s="22" t="s">
        <v>220</v>
      </c>
      <c r="N54" s="23" t="s">
        <v>137</v>
      </c>
      <c r="O54" s="29" t="s">
        <v>23</v>
      </c>
      <c r="P54" s="29" t="s">
        <v>219</v>
      </c>
      <c r="Q54" s="22" t="s">
        <v>221</v>
      </c>
      <c r="R54" s="22" t="s">
        <v>222</v>
      </c>
      <c r="S54" s="22" t="s">
        <v>223</v>
      </c>
      <c r="T54" s="22" t="s">
        <v>224</v>
      </c>
      <c r="U54" s="28" t="s">
        <v>148</v>
      </c>
      <c r="V54" s="22" t="s">
        <v>217</v>
      </c>
    </row>
    <row r="55" spans="1:22" ht="25.5" x14ac:dyDescent="0.25">
      <c r="A55" s="17" t="s">
        <v>630</v>
      </c>
      <c r="B55" s="18" t="s">
        <v>331</v>
      </c>
      <c r="C55" s="17" t="s">
        <v>519</v>
      </c>
      <c r="D55" s="18">
        <v>2</v>
      </c>
      <c r="E55" s="17" t="s">
        <v>162</v>
      </c>
      <c r="F55" s="17" t="s">
        <v>163</v>
      </c>
      <c r="G55" s="17" t="s">
        <v>164</v>
      </c>
      <c r="H55" s="17" t="s">
        <v>165</v>
      </c>
      <c r="I55" s="17" t="s">
        <v>136</v>
      </c>
      <c r="J55" s="19" t="s">
        <v>136</v>
      </c>
      <c r="K55" s="19" t="s">
        <v>136</v>
      </c>
      <c r="L55" s="19" t="s">
        <v>136</v>
      </c>
      <c r="M55" s="17" t="s">
        <v>137</v>
      </c>
      <c r="N55" s="18" t="s">
        <v>137</v>
      </c>
      <c r="O55" s="20" t="s">
        <v>22</v>
      </c>
      <c r="P55" s="19" t="s">
        <v>136</v>
      </c>
      <c r="Q55" s="17" t="s">
        <v>138</v>
      </c>
      <c r="R55" s="17" t="s">
        <v>139</v>
      </c>
      <c r="S55" s="17" t="s">
        <v>166</v>
      </c>
      <c r="T55" s="17" t="s">
        <v>141</v>
      </c>
      <c r="U55" s="21" t="s">
        <v>136</v>
      </c>
      <c r="V55" s="17" t="s">
        <v>142</v>
      </c>
    </row>
    <row r="56" spans="1:22" ht="25.5" x14ac:dyDescent="0.25">
      <c r="A56" s="22" t="s">
        <v>630</v>
      </c>
      <c r="B56" s="23" t="s">
        <v>331</v>
      </c>
      <c r="C56" s="22" t="s">
        <v>363</v>
      </c>
      <c r="D56" s="23">
        <v>2</v>
      </c>
      <c r="E56" s="22" t="s">
        <v>162</v>
      </c>
      <c r="F56" s="22" t="s">
        <v>176</v>
      </c>
      <c r="G56" s="22" t="s">
        <v>177</v>
      </c>
      <c r="H56" s="22" t="s">
        <v>178</v>
      </c>
      <c r="I56" s="22" t="s">
        <v>135</v>
      </c>
      <c r="J56" s="19" t="s">
        <v>136</v>
      </c>
      <c r="K56" s="19" t="s">
        <v>136</v>
      </c>
      <c r="L56" s="19" t="s">
        <v>136</v>
      </c>
      <c r="M56" s="22" t="s">
        <v>137</v>
      </c>
      <c r="N56" s="23" t="s">
        <v>137</v>
      </c>
      <c r="O56" s="20" t="s">
        <v>22</v>
      </c>
      <c r="P56" s="19" t="s">
        <v>136</v>
      </c>
      <c r="Q56" s="22" t="s">
        <v>138</v>
      </c>
      <c r="R56" s="22" t="s">
        <v>139</v>
      </c>
      <c r="S56" s="22" t="s">
        <v>179</v>
      </c>
      <c r="T56" s="22" t="s">
        <v>141</v>
      </c>
      <c r="U56" s="25" t="s">
        <v>136</v>
      </c>
      <c r="V56" s="22" t="s">
        <v>142</v>
      </c>
    </row>
    <row r="57" spans="1:22" ht="38.25" x14ac:dyDescent="0.25">
      <c r="A57" s="17" t="s">
        <v>630</v>
      </c>
      <c r="B57" s="18" t="s">
        <v>364</v>
      </c>
      <c r="C57" s="17" t="s">
        <v>349</v>
      </c>
      <c r="D57" s="18">
        <v>6</v>
      </c>
      <c r="E57" s="17" t="s">
        <v>152</v>
      </c>
      <c r="F57" s="17" t="s">
        <v>350</v>
      </c>
      <c r="G57" s="17" t="s">
        <v>351</v>
      </c>
      <c r="H57" s="17" t="s">
        <v>352</v>
      </c>
      <c r="I57" s="17" t="s">
        <v>353</v>
      </c>
      <c r="J57" s="19" t="s">
        <v>136</v>
      </c>
      <c r="K57" s="19" t="s">
        <v>136</v>
      </c>
      <c r="L57" s="19" t="s">
        <v>136</v>
      </c>
      <c r="M57" s="22" t="s">
        <v>137</v>
      </c>
      <c r="N57" s="23" t="s">
        <v>137</v>
      </c>
      <c r="O57" s="24" t="s">
        <v>21</v>
      </c>
      <c r="P57" s="19" t="s">
        <v>136</v>
      </c>
      <c r="Q57" s="17" t="s">
        <v>157</v>
      </c>
      <c r="R57" s="17" t="s">
        <v>354</v>
      </c>
      <c r="S57" s="17" t="s">
        <v>355</v>
      </c>
      <c r="T57" s="17" t="s">
        <v>160</v>
      </c>
      <c r="U57" s="26" t="s">
        <v>148</v>
      </c>
      <c r="V57" s="17" t="s">
        <v>142</v>
      </c>
    </row>
    <row r="58" spans="1:22" ht="38.25" x14ac:dyDescent="0.25">
      <c r="A58" s="22" t="s">
        <v>630</v>
      </c>
      <c r="B58" s="23" t="s">
        <v>364</v>
      </c>
      <c r="C58" s="22" t="s">
        <v>648</v>
      </c>
      <c r="D58" s="23">
        <v>3</v>
      </c>
      <c r="E58" s="22" t="s">
        <v>152</v>
      </c>
      <c r="F58" s="22" t="s">
        <v>358</v>
      </c>
      <c r="G58" s="22" t="s">
        <v>359</v>
      </c>
      <c r="H58" s="22" t="s">
        <v>360</v>
      </c>
      <c r="I58" s="22" t="s">
        <v>361</v>
      </c>
      <c r="J58" s="19" t="s">
        <v>136</v>
      </c>
      <c r="K58" s="19" t="s">
        <v>136</v>
      </c>
      <c r="L58" s="19" t="s">
        <v>136</v>
      </c>
      <c r="M58" s="22" t="s">
        <v>137</v>
      </c>
      <c r="N58" s="23" t="s">
        <v>137</v>
      </c>
      <c r="O58" s="24" t="s">
        <v>21</v>
      </c>
      <c r="P58" s="24" t="s">
        <v>148</v>
      </c>
      <c r="Q58" s="22" t="s">
        <v>157</v>
      </c>
      <c r="R58" s="22" t="s">
        <v>28</v>
      </c>
      <c r="S58" s="22" t="s">
        <v>362</v>
      </c>
      <c r="T58" s="22" t="s">
        <v>234</v>
      </c>
      <c r="U58" s="31" t="s">
        <v>54</v>
      </c>
      <c r="V58" s="22" t="s">
        <v>142</v>
      </c>
    </row>
    <row r="59" spans="1:22" ht="38.25" x14ac:dyDescent="0.25">
      <c r="A59" s="17" t="s">
        <v>630</v>
      </c>
      <c r="B59" s="18" t="s">
        <v>364</v>
      </c>
      <c r="C59" s="17" t="s">
        <v>366</v>
      </c>
      <c r="D59" s="18">
        <v>2</v>
      </c>
      <c r="E59" s="17" t="s">
        <v>152</v>
      </c>
      <c r="F59" s="17" t="s">
        <v>216</v>
      </c>
      <c r="G59" s="17" t="s">
        <v>217</v>
      </c>
      <c r="H59" s="17" t="s">
        <v>217</v>
      </c>
      <c r="I59" s="17" t="s">
        <v>218</v>
      </c>
      <c r="J59" s="29" t="s">
        <v>219</v>
      </c>
      <c r="K59" s="29" t="s">
        <v>219</v>
      </c>
      <c r="L59" s="29" t="s">
        <v>219</v>
      </c>
      <c r="M59" s="17" t="s">
        <v>220</v>
      </c>
      <c r="N59" s="18" t="s">
        <v>137</v>
      </c>
      <c r="O59" s="29" t="s">
        <v>23</v>
      </c>
      <c r="P59" s="29" t="s">
        <v>219</v>
      </c>
      <c r="Q59" s="17" t="s">
        <v>221</v>
      </c>
      <c r="R59" s="17" t="s">
        <v>222</v>
      </c>
      <c r="S59" s="17" t="s">
        <v>223</v>
      </c>
      <c r="T59" s="17" t="s">
        <v>224</v>
      </c>
      <c r="U59" s="26" t="s">
        <v>148</v>
      </c>
      <c r="V59" s="17" t="s">
        <v>217</v>
      </c>
    </row>
    <row r="60" spans="1:22" ht="38.25" x14ac:dyDescent="0.25">
      <c r="A60" s="22" t="s">
        <v>630</v>
      </c>
      <c r="B60" s="23" t="s">
        <v>364</v>
      </c>
      <c r="C60" s="22" t="s">
        <v>367</v>
      </c>
      <c r="D60" s="23">
        <v>2</v>
      </c>
      <c r="E60" s="22" t="s">
        <v>152</v>
      </c>
      <c r="F60" s="22" t="s">
        <v>216</v>
      </c>
      <c r="G60" s="22" t="s">
        <v>217</v>
      </c>
      <c r="H60" s="22" t="s">
        <v>217</v>
      </c>
      <c r="I60" s="22" t="s">
        <v>218</v>
      </c>
      <c r="J60" s="29" t="s">
        <v>219</v>
      </c>
      <c r="K60" s="29" t="s">
        <v>219</v>
      </c>
      <c r="L60" s="29" t="s">
        <v>219</v>
      </c>
      <c r="M60" s="22" t="s">
        <v>220</v>
      </c>
      <c r="N60" s="23" t="s">
        <v>137</v>
      </c>
      <c r="O60" s="29" t="s">
        <v>23</v>
      </c>
      <c r="P60" s="29" t="s">
        <v>219</v>
      </c>
      <c r="Q60" s="22" t="s">
        <v>221</v>
      </c>
      <c r="R60" s="22" t="s">
        <v>222</v>
      </c>
      <c r="S60" s="22" t="s">
        <v>223</v>
      </c>
      <c r="T60" s="22" t="s">
        <v>224</v>
      </c>
      <c r="U60" s="28" t="s">
        <v>148</v>
      </c>
      <c r="V60" s="22" t="s">
        <v>217</v>
      </c>
    </row>
    <row r="61" spans="1:22" ht="38.25" x14ac:dyDescent="0.25">
      <c r="A61" s="17" t="s">
        <v>630</v>
      </c>
      <c r="B61" s="18" t="s">
        <v>364</v>
      </c>
      <c r="C61" s="17" t="s">
        <v>649</v>
      </c>
      <c r="D61" s="18">
        <v>2</v>
      </c>
      <c r="E61" s="17" t="s">
        <v>152</v>
      </c>
      <c r="F61" s="17" t="s">
        <v>216</v>
      </c>
      <c r="G61" s="17" t="s">
        <v>217</v>
      </c>
      <c r="H61" s="17" t="s">
        <v>217</v>
      </c>
      <c r="I61" s="17" t="s">
        <v>218</v>
      </c>
      <c r="J61" s="29" t="s">
        <v>219</v>
      </c>
      <c r="K61" s="29" t="s">
        <v>219</v>
      </c>
      <c r="L61" s="29" t="s">
        <v>219</v>
      </c>
      <c r="M61" s="17" t="s">
        <v>220</v>
      </c>
      <c r="N61" s="18" t="s">
        <v>137</v>
      </c>
      <c r="O61" s="29" t="s">
        <v>23</v>
      </c>
      <c r="P61" s="29" t="s">
        <v>219</v>
      </c>
      <c r="Q61" s="17" t="s">
        <v>221</v>
      </c>
      <c r="R61" s="17" t="s">
        <v>222</v>
      </c>
      <c r="S61" s="17" t="s">
        <v>223</v>
      </c>
      <c r="T61" s="17" t="s">
        <v>224</v>
      </c>
      <c r="U61" s="26" t="s">
        <v>148</v>
      </c>
      <c r="V61" s="17" t="s">
        <v>217</v>
      </c>
    </row>
    <row r="62" spans="1:22" ht="25.5" x14ac:dyDescent="0.25">
      <c r="A62" s="22" t="s">
        <v>630</v>
      </c>
      <c r="B62" s="23" t="s">
        <v>364</v>
      </c>
      <c r="C62" s="22" t="s">
        <v>371</v>
      </c>
      <c r="D62" s="23">
        <v>2</v>
      </c>
      <c r="E62" s="22" t="s">
        <v>162</v>
      </c>
      <c r="F62" s="22" t="s">
        <v>176</v>
      </c>
      <c r="G62" s="22" t="s">
        <v>177</v>
      </c>
      <c r="H62" s="22" t="s">
        <v>178</v>
      </c>
      <c r="I62" s="22" t="s">
        <v>135</v>
      </c>
      <c r="J62" s="19" t="s">
        <v>136</v>
      </c>
      <c r="K62" s="19" t="s">
        <v>136</v>
      </c>
      <c r="L62" s="19" t="s">
        <v>136</v>
      </c>
      <c r="M62" s="22" t="s">
        <v>137</v>
      </c>
      <c r="N62" s="23" t="s">
        <v>137</v>
      </c>
      <c r="O62" s="20" t="s">
        <v>22</v>
      </c>
      <c r="P62" s="19" t="s">
        <v>136</v>
      </c>
      <c r="Q62" s="22" t="s">
        <v>138</v>
      </c>
      <c r="R62" s="22" t="s">
        <v>139</v>
      </c>
      <c r="S62" s="22" t="s">
        <v>179</v>
      </c>
      <c r="T62" s="22" t="s">
        <v>141</v>
      </c>
      <c r="U62" s="25" t="s">
        <v>136</v>
      </c>
      <c r="V62" s="22" t="s">
        <v>142</v>
      </c>
    </row>
    <row r="64" spans="1:22" x14ac:dyDescent="0.25">
      <c r="A64" s="53" t="s">
        <v>372</v>
      </c>
      <c r="B64" s="53"/>
      <c r="C64" s="53"/>
      <c r="D64" s="53"/>
      <c r="E64" s="53"/>
      <c r="F64" s="53"/>
      <c r="G64" s="53"/>
      <c r="H64" s="53"/>
      <c r="I64" s="53"/>
      <c r="J64" s="53"/>
      <c r="K64" s="53"/>
      <c r="L64" s="53"/>
      <c r="M64" s="53"/>
      <c r="N64" s="53"/>
      <c r="O64" s="53"/>
      <c r="P64" s="53"/>
      <c r="Q64" s="53"/>
      <c r="R64" s="53"/>
      <c r="S64" s="53"/>
      <c r="T64" s="53"/>
      <c r="U64" s="53"/>
      <c r="V64" s="53"/>
    </row>
  </sheetData>
  <autoFilter ref="A4:V62" xr:uid="{00000000-0009-0000-0000-000006000000}"/>
  <mergeCells count="3">
    <mergeCell ref="A1:V1"/>
    <mergeCell ref="A2:V2"/>
    <mergeCell ref="A64:V6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1"/>
  <sheetViews>
    <sheetView showGridLines="0" zoomScaleNormal="100" workbookViewId="0">
      <pane xSplit="3" ySplit="4" topLeftCell="I57" activePane="bottomRight" state="frozen"/>
      <selection pane="topRight" activeCell="D1" sqref="D1"/>
      <selection pane="bottomLeft" activeCell="A5" sqref="A5"/>
      <selection pane="bottomRight" activeCell="N59" sqref="N59"/>
    </sheetView>
  </sheetViews>
  <sheetFormatPr baseColWidth="10" defaultColWidth="8.7109375" defaultRowHeight="15" x14ac:dyDescent="0.25"/>
  <cols>
    <col min="1" max="1" width="17" customWidth="1"/>
    <col min="2" max="2" width="11" customWidth="1"/>
    <col min="3" max="3" width="46" customWidth="1"/>
    <col min="4" max="4" width="8" customWidth="1"/>
    <col min="5" max="5" width="24" customWidth="1"/>
    <col min="6" max="6" width="30" customWidth="1"/>
    <col min="7" max="8" width="46" customWidth="1"/>
    <col min="9" max="9" width="34"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60" customWidth="1"/>
    <col min="18" max="18" width="42" customWidth="1"/>
    <col min="19" max="19" width="78" customWidth="1"/>
    <col min="20" max="20" width="24" customWidth="1"/>
    <col min="21" max="21" width="12" customWidth="1"/>
    <col min="22" max="22" width="21" customWidth="1"/>
  </cols>
  <sheetData>
    <row r="1" spans="1:22" ht="33.75" customHeight="1" x14ac:dyDescent="0.25">
      <c r="A1" s="51" t="s">
        <v>650</v>
      </c>
      <c r="B1" s="51"/>
      <c r="C1" s="51"/>
      <c r="D1" s="51"/>
      <c r="E1" s="51"/>
      <c r="F1" s="51"/>
      <c r="G1" s="51"/>
      <c r="H1" s="51"/>
      <c r="I1" s="51"/>
      <c r="J1" s="51"/>
      <c r="K1" s="51"/>
      <c r="L1" s="51"/>
      <c r="M1" s="51"/>
      <c r="N1" s="51"/>
      <c r="O1" s="51"/>
      <c r="P1" s="51"/>
      <c r="Q1" s="51"/>
      <c r="R1" s="51"/>
      <c r="S1" s="51"/>
      <c r="T1" s="51"/>
      <c r="U1" s="51"/>
      <c r="V1" s="51"/>
    </row>
    <row r="2" spans="1:22" ht="18" customHeight="1" x14ac:dyDescent="0.25">
      <c r="A2" s="52" t="s">
        <v>651</v>
      </c>
      <c r="B2" s="52"/>
      <c r="C2" s="52"/>
      <c r="D2" s="52"/>
      <c r="E2" s="52"/>
      <c r="F2" s="52"/>
      <c r="G2" s="52"/>
      <c r="H2" s="52"/>
      <c r="I2" s="52"/>
      <c r="J2" s="52"/>
      <c r="K2" s="52"/>
      <c r="L2" s="52"/>
      <c r="M2" s="52"/>
      <c r="N2" s="52"/>
      <c r="O2" s="52"/>
      <c r="P2" s="52"/>
      <c r="Q2" s="52"/>
      <c r="R2" s="52"/>
      <c r="S2" s="52"/>
      <c r="T2" s="52"/>
      <c r="U2" s="52"/>
      <c r="V2" s="52"/>
    </row>
    <row r="4" spans="1:22" ht="39.75" customHeight="1" x14ac:dyDescent="0.25">
      <c r="A4" s="2" t="s">
        <v>46</v>
      </c>
      <c r="B4" s="2" t="s">
        <v>112</v>
      </c>
      <c r="C4" s="2" t="s">
        <v>48</v>
      </c>
      <c r="D4" s="2" t="s">
        <v>113</v>
      </c>
      <c r="E4" s="2" t="s">
        <v>114</v>
      </c>
      <c r="F4" s="2" t="s">
        <v>115</v>
      </c>
      <c r="G4" s="2" t="s">
        <v>116</v>
      </c>
      <c r="H4" s="2" t="s">
        <v>117</v>
      </c>
      <c r="I4" s="2" t="s">
        <v>118</v>
      </c>
      <c r="J4" s="2" t="s">
        <v>26</v>
      </c>
      <c r="K4" s="2" t="s">
        <v>27</v>
      </c>
      <c r="L4" s="2" t="s">
        <v>28</v>
      </c>
      <c r="M4" s="16" t="s">
        <v>119</v>
      </c>
      <c r="N4" s="16" t="s">
        <v>120</v>
      </c>
      <c r="O4" s="16" t="s">
        <v>19</v>
      </c>
      <c r="P4" s="2" t="s">
        <v>121</v>
      </c>
      <c r="Q4" s="2" t="s">
        <v>122</v>
      </c>
      <c r="R4" s="2" t="s">
        <v>123</v>
      </c>
      <c r="S4" s="2" t="s">
        <v>124</v>
      </c>
      <c r="T4" s="2" t="s">
        <v>125</v>
      </c>
      <c r="U4" s="2" t="s">
        <v>126</v>
      </c>
      <c r="V4" s="2" t="s">
        <v>127</v>
      </c>
    </row>
    <row r="5" spans="1:22" ht="25.5" x14ac:dyDescent="0.25">
      <c r="A5" s="17" t="s">
        <v>652</v>
      </c>
      <c r="B5" s="18" t="s">
        <v>129</v>
      </c>
      <c r="C5" s="17" t="s">
        <v>181</v>
      </c>
      <c r="D5" s="18">
        <v>4</v>
      </c>
      <c r="E5" s="17" t="s">
        <v>217</v>
      </c>
      <c r="F5" s="17" t="s">
        <v>132</v>
      </c>
      <c r="G5" s="17" t="s">
        <v>133</v>
      </c>
      <c r="H5" s="17" t="s">
        <v>134</v>
      </c>
      <c r="I5" s="17" t="s">
        <v>135</v>
      </c>
      <c r="J5" s="19" t="s">
        <v>136</v>
      </c>
      <c r="K5" s="19" t="s">
        <v>136</v>
      </c>
      <c r="L5" s="19" t="s">
        <v>136</v>
      </c>
      <c r="M5" s="17" t="s">
        <v>137</v>
      </c>
      <c r="N5" s="18" t="s">
        <v>137</v>
      </c>
      <c r="O5" s="20" t="s">
        <v>22</v>
      </c>
      <c r="P5" s="19" t="s">
        <v>136</v>
      </c>
      <c r="Q5" s="17" t="s">
        <v>138</v>
      </c>
      <c r="R5" s="17" t="s">
        <v>139</v>
      </c>
      <c r="S5" s="17" t="s">
        <v>140</v>
      </c>
      <c r="T5" s="17" t="s">
        <v>141</v>
      </c>
      <c r="U5" s="21" t="s">
        <v>136</v>
      </c>
      <c r="V5" s="17" t="s">
        <v>142</v>
      </c>
    </row>
    <row r="6" spans="1:22" ht="25.5" x14ac:dyDescent="0.25">
      <c r="A6" s="22" t="s">
        <v>652</v>
      </c>
      <c r="B6" s="23" t="s">
        <v>129</v>
      </c>
      <c r="C6" s="22" t="s">
        <v>143</v>
      </c>
      <c r="D6" s="23">
        <v>3</v>
      </c>
      <c r="E6" s="22" t="s">
        <v>217</v>
      </c>
      <c r="F6" s="22" t="s">
        <v>144</v>
      </c>
      <c r="G6" s="22" t="s">
        <v>145</v>
      </c>
      <c r="H6" s="22" t="s">
        <v>146</v>
      </c>
      <c r="I6" s="22" t="s">
        <v>147</v>
      </c>
      <c r="J6" s="19" t="s">
        <v>136</v>
      </c>
      <c r="K6" s="19" t="s">
        <v>136</v>
      </c>
      <c r="L6" s="19" t="s">
        <v>136</v>
      </c>
      <c r="M6" s="22" t="s">
        <v>137</v>
      </c>
      <c r="N6" s="23" t="s">
        <v>137</v>
      </c>
      <c r="O6" s="20" t="s">
        <v>22</v>
      </c>
      <c r="P6" s="24" t="s">
        <v>148</v>
      </c>
      <c r="Q6" s="22" t="s">
        <v>149</v>
      </c>
      <c r="R6" s="22" t="s">
        <v>139</v>
      </c>
      <c r="S6" s="22" t="s">
        <v>150</v>
      </c>
      <c r="T6" s="22" t="s">
        <v>141</v>
      </c>
      <c r="U6" s="25" t="s">
        <v>136</v>
      </c>
      <c r="V6" s="22" t="s">
        <v>142</v>
      </c>
    </row>
    <row r="7" spans="1:22" ht="25.5" x14ac:dyDescent="0.25">
      <c r="A7" s="17" t="s">
        <v>652</v>
      </c>
      <c r="B7" s="18" t="s">
        <v>129</v>
      </c>
      <c r="C7" s="17" t="s">
        <v>547</v>
      </c>
      <c r="D7" s="18">
        <v>3</v>
      </c>
      <c r="E7" s="17" t="s">
        <v>217</v>
      </c>
      <c r="F7" s="17" t="s">
        <v>548</v>
      </c>
      <c r="G7" s="17" t="s">
        <v>549</v>
      </c>
      <c r="H7" s="17" t="s">
        <v>550</v>
      </c>
      <c r="I7" s="17" t="s">
        <v>147</v>
      </c>
      <c r="J7" s="19" t="s">
        <v>136</v>
      </c>
      <c r="K7" s="19" t="s">
        <v>136</v>
      </c>
      <c r="L7" s="19" t="s">
        <v>136</v>
      </c>
      <c r="M7" s="17" t="s">
        <v>137</v>
      </c>
      <c r="N7" s="18" t="s">
        <v>137</v>
      </c>
      <c r="O7" s="20" t="s">
        <v>22</v>
      </c>
      <c r="P7" s="24" t="s">
        <v>148</v>
      </c>
      <c r="Q7" s="17" t="s">
        <v>551</v>
      </c>
      <c r="R7" s="17" t="s">
        <v>139</v>
      </c>
      <c r="S7" s="17" t="s">
        <v>552</v>
      </c>
      <c r="T7" s="17" t="s">
        <v>141</v>
      </c>
      <c r="U7" s="21" t="s">
        <v>136</v>
      </c>
      <c r="V7" s="17" t="s">
        <v>142</v>
      </c>
    </row>
    <row r="8" spans="1:22" ht="51" x14ac:dyDescent="0.25">
      <c r="A8" s="22" t="s">
        <v>652</v>
      </c>
      <c r="B8" s="23" t="s">
        <v>129</v>
      </c>
      <c r="C8" s="22" t="s">
        <v>151</v>
      </c>
      <c r="D8" s="23">
        <v>3</v>
      </c>
      <c r="E8" s="22" t="s">
        <v>217</v>
      </c>
      <c r="F8" s="22" t="s">
        <v>153</v>
      </c>
      <c r="G8" s="22" t="s">
        <v>154</v>
      </c>
      <c r="H8" s="22" t="s">
        <v>155</v>
      </c>
      <c r="I8" s="22" t="s">
        <v>156</v>
      </c>
      <c r="J8" s="19" t="s">
        <v>136</v>
      </c>
      <c r="K8" s="19" t="s">
        <v>136</v>
      </c>
      <c r="L8" s="19" t="s">
        <v>136</v>
      </c>
      <c r="M8" s="17" t="s">
        <v>137</v>
      </c>
      <c r="N8" s="18" t="s">
        <v>137</v>
      </c>
      <c r="O8" s="20" t="s">
        <v>22</v>
      </c>
      <c r="P8" s="24" t="s">
        <v>148</v>
      </c>
      <c r="Q8" s="22" t="s">
        <v>157</v>
      </c>
      <c r="R8" s="22" t="s">
        <v>158</v>
      </c>
      <c r="S8" s="22" t="s">
        <v>159</v>
      </c>
      <c r="T8" s="22" t="s">
        <v>160</v>
      </c>
      <c r="U8" s="28" t="s">
        <v>148</v>
      </c>
      <c r="V8" s="22" t="s">
        <v>142</v>
      </c>
    </row>
    <row r="9" spans="1:22" ht="25.5" x14ac:dyDescent="0.25">
      <c r="A9" s="17" t="s">
        <v>652</v>
      </c>
      <c r="B9" s="18" t="s">
        <v>129</v>
      </c>
      <c r="C9" s="17" t="s">
        <v>161</v>
      </c>
      <c r="D9" s="18">
        <v>2</v>
      </c>
      <c r="E9" s="17" t="s">
        <v>217</v>
      </c>
      <c r="F9" s="17" t="s">
        <v>163</v>
      </c>
      <c r="G9" s="17" t="s">
        <v>164</v>
      </c>
      <c r="H9" s="17" t="s">
        <v>165</v>
      </c>
      <c r="I9" s="17" t="s">
        <v>136</v>
      </c>
      <c r="J9" s="19" t="s">
        <v>136</v>
      </c>
      <c r="K9" s="19" t="s">
        <v>136</v>
      </c>
      <c r="L9" s="19" t="s">
        <v>136</v>
      </c>
      <c r="M9" s="17" t="s">
        <v>137</v>
      </c>
      <c r="N9" s="18" t="s">
        <v>137</v>
      </c>
      <c r="O9" s="20" t="s">
        <v>22</v>
      </c>
      <c r="P9" s="19" t="s">
        <v>136</v>
      </c>
      <c r="Q9" s="17" t="s">
        <v>138</v>
      </c>
      <c r="R9" s="17" t="s">
        <v>139</v>
      </c>
      <c r="S9" s="17" t="s">
        <v>166</v>
      </c>
      <c r="T9" s="17" t="s">
        <v>141</v>
      </c>
      <c r="U9" s="21" t="s">
        <v>136</v>
      </c>
      <c r="V9" s="17" t="s">
        <v>142</v>
      </c>
    </row>
    <row r="10" spans="1:22" ht="25.5" x14ac:dyDescent="0.25">
      <c r="A10" s="22" t="s">
        <v>652</v>
      </c>
      <c r="B10" s="23" t="s">
        <v>129</v>
      </c>
      <c r="C10" s="22" t="s">
        <v>174</v>
      </c>
      <c r="D10" s="23">
        <v>1</v>
      </c>
      <c r="E10" s="22" t="s">
        <v>217</v>
      </c>
      <c r="F10" s="22" t="s">
        <v>163</v>
      </c>
      <c r="G10" s="22" t="s">
        <v>164</v>
      </c>
      <c r="H10" s="22" t="s">
        <v>165</v>
      </c>
      <c r="I10" s="22" t="s">
        <v>136</v>
      </c>
      <c r="J10" s="19" t="s">
        <v>136</v>
      </c>
      <c r="K10" s="19" t="s">
        <v>136</v>
      </c>
      <c r="L10" s="19" t="s">
        <v>136</v>
      </c>
      <c r="M10" s="22" t="s">
        <v>137</v>
      </c>
      <c r="N10" s="23" t="s">
        <v>137</v>
      </c>
      <c r="O10" s="20" t="s">
        <v>22</v>
      </c>
      <c r="P10" s="19" t="s">
        <v>136</v>
      </c>
      <c r="Q10" s="22" t="s">
        <v>138</v>
      </c>
      <c r="R10" s="22" t="s">
        <v>139</v>
      </c>
      <c r="S10" s="22" t="s">
        <v>166</v>
      </c>
      <c r="T10" s="22" t="s">
        <v>141</v>
      </c>
      <c r="U10" s="25" t="s">
        <v>136</v>
      </c>
      <c r="V10" s="22" t="s">
        <v>142</v>
      </c>
    </row>
    <row r="11" spans="1:22" ht="25.5" x14ac:dyDescent="0.25">
      <c r="A11" s="17" t="s">
        <v>652</v>
      </c>
      <c r="B11" s="18" t="s">
        <v>129</v>
      </c>
      <c r="C11" s="17" t="s">
        <v>175</v>
      </c>
      <c r="D11" s="18">
        <v>2</v>
      </c>
      <c r="E11" s="17" t="s">
        <v>217</v>
      </c>
      <c r="F11" s="17" t="s">
        <v>176</v>
      </c>
      <c r="G11" s="17" t="s">
        <v>177</v>
      </c>
      <c r="H11" s="17" t="s">
        <v>178</v>
      </c>
      <c r="I11" s="17" t="s">
        <v>135</v>
      </c>
      <c r="J11" s="19" t="s">
        <v>136</v>
      </c>
      <c r="K11" s="19" t="s">
        <v>136</v>
      </c>
      <c r="L11" s="19" t="s">
        <v>136</v>
      </c>
      <c r="M11" s="17" t="s">
        <v>137</v>
      </c>
      <c r="N11" s="18" t="s">
        <v>137</v>
      </c>
      <c r="O11" s="20" t="s">
        <v>22</v>
      </c>
      <c r="P11" s="19" t="s">
        <v>136</v>
      </c>
      <c r="Q11" s="17" t="s">
        <v>138</v>
      </c>
      <c r="R11" s="17" t="s">
        <v>139</v>
      </c>
      <c r="S11" s="17" t="s">
        <v>179</v>
      </c>
      <c r="T11" s="17" t="s">
        <v>141</v>
      </c>
      <c r="U11" s="21" t="s">
        <v>136</v>
      </c>
      <c r="V11" s="17" t="s">
        <v>142</v>
      </c>
    </row>
    <row r="12" spans="1:22" ht="25.5" x14ac:dyDescent="0.25">
      <c r="A12" s="22" t="s">
        <v>652</v>
      </c>
      <c r="B12" s="23" t="s">
        <v>180</v>
      </c>
      <c r="C12" s="22" t="s">
        <v>199</v>
      </c>
      <c r="D12" s="23">
        <v>3</v>
      </c>
      <c r="E12" s="22" t="s">
        <v>217</v>
      </c>
      <c r="F12" s="22" t="s">
        <v>132</v>
      </c>
      <c r="G12" s="22" t="s">
        <v>133</v>
      </c>
      <c r="H12" s="22" t="s">
        <v>134</v>
      </c>
      <c r="I12" s="22" t="s">
        <v>135</v>
      </c>
      <c r="J12" s="19" t="s">
        <v>136</v>
      </c>
      <c r="K12" s="19" t="s">
        <v>136</v>
      </c>
      <c r="L12" s="19" t="s">
        <v>136</v>
      </c>
      <c r="M12" s="22" t="s">
        <v>137</v>
      </c>
      <c r="N12" s="23" t="s">
        <v>137</v>
      </c>
      <c r="O12" s="20" t="s">
        <v>22</v>
      </c>
      <c r="P12" s="19" t="s">
        <v>136</v>
      </c>
      <c r="Q12" s="22" t="s">
        <v>138</v>
      </c>
      <c r="R12" s="22" t="s">
        <v>139</v>
      </c>
      <c r="S12" s="22" t="s">
        <v>140</v>
      </c>
      <c r="T12" s="22" t="s">
        <v>141</v>
      </c>
      <c r="U12" s="25" t="s">
        <v>136</v>
      </c>
      <c r="V12" s="22" t="s">
        <v>142</v>
      </c>
    </row>
    <row r="13" spans="1:22" ht="25.5" x14ac:dyDescent="0.25">
      <c r="A13" s="17" t="s">
        <v>652</v>
      </c>
      <c r="B13" s="18" t="s">
        <v>180</v>
      </c>
      <c r="C13" s="17" t="s">
        <v>182</v>
      </c>
      <c r="D13" s="18">
        <v>3</v>
      </c>
      <c r="E13" s="17" t="s">
        <v>217</v>
      </c>
      <c r="F13" s="17" t="s">
        <v>132</v>
      </c>
      <c r="G13" s="17" t="s">
        <v>133</v>
      </c>
      <c r="H13" s="17" t="s">
        <v>134</v>
      </c>
      <c r="I13" s="17" t="s">
        <v>135</v>
      </c>
      <c r="J13" s="19" t="s">
        <v>136</v>
      </c>
      <c r="K13" s="19" t="s">
        <v>136</v>
      </c>
      <c r="L13" s="19" t="s">
        <v>136</v>
      </c>
      <c r="M13" s="17" t="s">
        <v>137</v>
      </c>
      <c r="N13" s="18" t="s">
        <v>137</v>
      </c>
      <c r="O13" s="20" t="s">
        <v>22</v>
      </c>
      <c r="P13" s="19" t="s">
        <v>136</v>
      </c>
      <c r="Q13" s="17" t="s">
        <v>138</v>
      </c>
      <c r="R13" s="17" t="s">
        <v>139</v>
      </c>
      <c r="S13" s="17" t="s">
        <v>140</v>
      </c>
      <c r="T13" s="17" t="s">
        <v>141</v>
      </c>
      <c r="U13" s="21" t="s">
        <v>136</v>
      </c>
      <c r="V13" s="17" t="s">
        <v>142</v>
      </c>
    </row>
    <row r="14" spans="1:22" ht="25.5" x14ac:dyDescent="0.25">
      <c r="A14" s="22" t="s">
        <v>652</v>
      </c>
      <c r="B14" s="23" t="s">
        <v>180</v>
      </c>
      <c r="C14" s="22" t="s">
        <v>553</v>
      </c>
      <c r="D14" s="23">
        <v>3</v>
      </c>
      <c r="E14" s="22" t="s">
        <v>217</v>
      </c>
      <c r="F14" s="22" t="s">
        <v>548</v>
      </c>
      <c r="G14" s="22" t="s">
        <v>549</v>
      </c>
      <c r="H14" s="22" t="s">
        <v>550</v>
      </c>
      <c r="I14" s="22" t="s">
        <v>147</v>
      </c>
      <c r="J14" s="19" t="s">
        <v>136</v>
      </c>
      <c r="K14" s="19" t="s">
        <v>136</v>
      </c>
      <c r="L14" s="19" t="s">
        <v>136</v>
      </c>
      <c r="M14" s="22" t="s">
        <v>137</v>
      </c>
      <c r="N14" s="23" t="s">
        <v>137</v>
      </c>
      <c r="O14" s="20" t="s">
        <v>22</v>
      </c>
      <c r="P14" s="24" t="s">
        <v>148</v>
      </c>
      <c r="Q14" s="22" t="s">
        <v>551</v>
      </c>
      <c r="R14" s="22" t="s">
        <v>139</v>
      </c>
      <c r="S14" s="22" t="s">
        <v>552</v>
      </c>
      <c r="T14" s="22" t="s">
        <v>141</v>
      </c>
      <c r="U14" s="25" t="s">
        <v>136</v>
      </c>
      <c r="V14" s="22" t="s">
        <v>142</v>
      </c>
    </row>
    <row r="15" spans="1:22" ht="25.5" x14ac:dyDescent="0.25">
      <c r="A15" s="17" t="s">
        <v>652</v>
      </c>
      <c r="B15" s="18" t="s">
        <v>180</v>
      </c>
      <c r="C15" s="17" t="s">
        <v>653</v>
      </c>
      <c r="D15" s="18">
        <v>4</v>
      </c>
      <c r="E15" s="17" t="s">
        <v>217</v>
      </c>
      <c r="F15" s="17" t="s">
        <v>184</v>
      </c>
      <c r="G15" s="17" t="s">
        <v>185</v>
      </c>
      <c r="H15" s="17" t="s">
        <v>186</v>
      </c>
      <c r="I15" s="17" t="s">
        <v>147</v>
      </c>
      <c r="J15" s="19" t="s">
        <v>136</v>
      </c>
      <c r="K15" s="19" t="s">
        <v>136</v>
      </c>
      <c r="L15" s="19" t="s">
        <v>136</v>
      </c>
      <c r="M15" s="17" t="s">
        <v>137</v>
      </c>
      <c r="N15" s="18" t="s">
        <v>137</v>
      </c>
      <c r="O15" s="20" t="s">
        <v>22</v>
      </c>
      <c r="P15" s="24" t="s">
        <v>148</v>
      </c>
      <c r="Q15" s="17" t="s">
        <v>187</v>
      </c>
      <c r="R15" s="17" t="s">
        <v>139</v>
      </c>
      <c r="S15" s="17" t="s">
        <v>188</v>
      </c>
      <c r="T15" s="17" t="s">
        <v>141</v>
      </c>
      <c r="U15" s="21" t="s">
        <v>136</v>
      </c>
      <c r="V15" s="17" t="s">
        <v>142</v>
      </c>
    </row>
    <row r="16" spans="1:22" ht="25.5" x14ac:dyDescent="0.25">
      <c r="A16" s="22" t="s">
        <v>652</v>
      </c>
      <c r="B16" s="23" t="s">
        <v>180</v>
      </c>
      <c r="C16" s="22" t="s">
        <v>378</v>
      </c>
      <c r="D16" s="23">
        <v>3</v>
      </c>
      <c r="E16" s="22" t="s">
        <v>217</v>
      </c>
      <c r="F16" s="22" t="s">
        <v>379</v>
      </c>
      <c r="G16" s="22" t="s">
        <v>380</v>
      </c>
      <c r="H16" s="22" t="s">
        <v>381</v>
      </c>
      <c r="I16" s="22" t="s">
        <v>135</v>
      </c>
      <c r="J16" s="19" t="s">
        <v>136</v>
      </c>
      <c r="K16" s="19" t="s">
        <v>136</v>
      </c>
      <c r="L16" s="19" t="s">
        <v>136</v>
      </c>
      <c r="M16" s="22" t="s">
        <v>137</v>
      </c>
      <c r="N16" s="23" t="s">
        <v>137</v>
      </c>
      <c r="O16" s="20" t="s">
        <v>22</v>
      </c>
      <c r="P16" s="19" t="s">
        <v>136</v>
      </c>
      <c r="Q16" s="22" t="s">
        <v>138</v>
      </c>
      <c r="R16" s="22" t="s">
        <v>139</v>
      </c>
      <c r="S16" s="22" t="s">
        <v>382</v>
      </c>
      <c r="T16" s="22" t="s">
        <v>141</v>
      </c>
      <c r="U16" s="25" t="s">
        <v>136</v>
      </c>
      <c r="V16" s="22" t="s">
        <v>142</v>
      </c>
    </row>
    <row r="17" spans="1:22" ht="25.5" x14ac:dyDescent="0.25">
      <c r="A17" s="17" t="s">
        <v>652</v>
      </c>
      <c r="B17" s="18" t="s">
        <v>180</v>
      </c>
      <c r="C17" s="17" t="s">
        <v>243</v>
      </c>
      <c r="D17" s="18">
        <v>1</v>
      </c>
      <c r="E17" s="17" t="s">
        <v>217</v>
      </c>
      <c r="F17" s="17" t="s">
        <v>163</v>
      </c>
      <c r="G17" s="17" t="s">
        <v>164</v>
      </c>
      <c r="H17" s="17" t="s">
        <v>165</v>
      </c>
      <c r="I17" s="17" t="s">
        <v>136</v>
      </c>
      <c r="J17" s="19" t="s">
        <v>136</v>
      </c>
      <c r="K17" s="19" t="s">
        <v>136</v>
      </c>
      <c r="L17" s="19" t="s">
        <v>136</v>
      </c>
      <c r="M17" s="17" t="s">
        <v>137</v>
      </c>
      <c r="N17" s="18" t="s">
        <v>137</v>
      </c>
      <c r="O17" s="20" t="s">
        <v>22</v>
      </c>
      <c r="P17" s="19" t="s">
        <v>136</v>
      </c>
      <c r="Q17" s="17" t="s">
        <v>138</v>
      </c>
      <c r="R17" s="17" t="s">
        <v>139</v>
      </c>
      <c r="S17" s="17" t="s">
        <v>166</v>
      </c>
      <c r="T17" s="17" t="s">
        <v>141</v>
      </c>
      <c r="U17" s="21" t="s">
        <v>136</v>
      </c>
      <c r="V17" s="17" t="s">
        <v>142</v>
      </c>
    </row>
    <row r="18" spans="1:22" ht="25.5" x14ac:dyDescent="0.25">
      <c r="A18" s="22" t="s">
        <v>652</v>
      </c>
      <c r="B18" s="23" t="s">
        <v>180</v>
      </c>
      <c r="C18" s="22" t="s">
        <v>197</v>
      </c>
      <c r="D18" s="23">
        <v>2</v>
      </c>
      <c r="E18" s="22" t="s">
        <v>217</v>
      </c>
      <c r="F18" s="22" t="s">
        <v>176</v>
      </c>
      <c r="G18" s="22" t="s">
        <v>177</v>
      </c>
      <c r="H18" s="22" t="s">
        <v>178</v>
      </c>
      <c r="I18" s="22" t="s">
        <v>135</v>
      </c>
      <c r="J18" s="19" t="s">
        <v>136</v>
      </c>
      <c r="K18" s="19" t="s">
        <v>136</v>
      </c>
      <c r="L18" s="19" t="s">
        <v>136</v>
      </c>
      <c r="M18" s="22" t="s">
        <v>137</v>
      </c>
      <c r="N18" s="23" t="s">
        <v>137</v>
      </c>
      <c r="O18" s="20" t="s">
        <v>22</v>
      </c>
      <c r="P18" s="19" t="s">
        <v>136</v>
      </c>
      <c r="Q18" s="22" t="s">
        <v>138</v>
      </c>
      <c r="R18" s="22" t="s">
        <v>139</v>
      </c>
      <c r="S18" s="22" t="s">
        <v>179</v>
      </c>
      <c r="T18" s="22" t="s">
        <v>141</v>
      </c>
      <c r="U18" s="25" t="s">
        <v>136</v>
      </c>
      <c r="V18" s="22" t="s">
        <v>142</v>
      </c>
    </row>
    <row r="19" spans="1:22" ht="25.5" x14ac:dyDescent="0.25">
      <c r="A19" s="17" t="s">
        <v>652</v>
      </c>
      <c r="B19" s="18" t="s">
        <v>198</v>
      </c>
      <c r="C19" s="17" t="s">
        <v>555</v>
      </c>
      <c r="D19" s="18">
        <v>3</v>
      </c>
      <c r="E19" s="17" t="s">
        <v>217</v>
      </c>
      <c r="F19" s="17" t="s">
        <v>132</v>
      </c>
      <c r="G19" s="17" t="s">
        <v>133</v>
      </c>
      <c r="H19" s="17" t="s">
        <v>134</v>
      </c>
      <c r="I19" s="17" t="s">
        <v>135</v>
      </c>
      <c r="J19" s="19" t="s">
        <v>136</v>
      </c>
      <c r="K19" s="19" t="s">
        <v>136</v>
      </c>
      <c r="L19" s="19" t="s">
        <v>136</v>
      </c>
      <c r="M19" s="17" t="s">
        <v>137</v>
      </c>
      <c r="N19" s="18" t="s">
        <v>137</v>
      </c>
      <c r="O19" s="20" t="s">
        <v>22</v>
      </c>
      <c r="P19" s="19" t="s">
        <v>136</v>
      </c>
      <c r="Q19" s="17" t="s">
        <v>138</v>
      </c>
      <c r="R19" s="17" t="s">
        <v>139</v>
      </c>
      <c r="S19" s="17" t="s">
        <v>140</v>
      </c>
      <c r="T19" s="17" t="s">
        <v>141</v>
      </c>
      <c r="U19" s="21" t="s">
        <v>136</v>
      </c>
      <c r="V19" s="17" t="s">
        <v>142</v>
      </c>
    </row>
    <row r="20" spans="1:22" ht="25.5" x14ac:dyDescent="0.25">
      <c r="A20" s="22" t="s">
        <v>652</v>
      </c>
      <c r="B20" s="23" t="s">
        <v>198</v>
      </c>
      <c r="C20" s="22" t="s">
        <v>200</v>
      </c>
      <c r="D20" s="23">
        <v>3</v>
      </c>
      <c r="E20" s="22" t="s">
        <v>217</v>
      </c>
      <c r="F20" s="22" t="s">
        <v>132</v>
      </c>
      <c r="G20" s="22" t="s">
        <v>133</v>
      </c>
      <c r="H20" s="22" t="s">
        <v>134</v>
      </c>
      <c r="I20" s="22" t="s">
        <v>135</v>
      </c>
      <c r="J20" s="19" t="s">
        <v>136</v>
      </c>
      <c r="K20" s="19" t="s">
        <v>136</v>
      </c>
      <c r="L20" s="19" t="s">
        <v>136</v>
      </c>
      <c r="M20" s="22" t="s">
        <v>137</v>
      </c>
      <c r="N20" s="23" t="s">
        <v>137</v>
      </c>
      <c r="O20" s="20" t="s">
        <v>22</v>
      </c>
      <c r="P20" s="19" t="s">
        <v>136</v>
      </c>
      <c r="Q20" s="22" t="s">
        <v>138</v>
      </c>
      <c r="R20" s="22" t="s">
        <v>139</v>
      </c>
      <c r="S20" s="22" t="s">
        <v>140</v>
      </c>
      <c r="T20" s="22" t="s">
        <v>141</v>
      </c>
      <c r="U20" s="25" t="s">
        <v>136</v>
      </c>
      <c r="V20" s="22" t="s">
        <v>142</v>
      </c>
    </row>
    <row r="21" spans="1:22" ht="25.5" x14ac:dyDescent="0.25">
      <c r="A21" s="17" t="s">
        <v>652</v>
      </c>
      <c r="B21" s="18" t="s">
        <v>198</v>
      </c>
      <c r="C21" s="17" t="s">
        <v>557</v>
      </c>
      <c r="D21" s="18">
        <v>3</v>
      </c>
      <c r="E21" s="17" t="s">
        <v>217</v>
      </c>
      <c r="F21" s="17" t="s">
        <v>548</v>
      </c>
      <c r="G21" s="17" t="s">
        <v>549</v>
      </c>
      <c r="H21" s="17" t="s">
        <v>550</v>
      </c>
      <c r="I21" s="17" t="s">
        <v>147</v>
      </c>
      <c r="J21" s="19" t="s">
        <v>136</v>
      </c>
      <c r="K21" s="19" t="s">
        <v>136</v>
      </c>
      <c r="L21" s="19" t="s">
        <v>136</v>
      </c>
      <c r="M21" s="17" t="s">
        <v>137</v>
      </c>
      <c r="N21" s="18" t="s">
        <v>137</v>
      </c>
      <c r="O21" s="20" t="s">
        <v>22</v>
      </c>
      <c r="P21" s="24" t="s">
        <v>148</v>
      </c>
      <c r="Q21" s="17" t="s">
        <v>551</v>
      </c>
      <c r="R21" s="17" t="s">
        <v>139</v>
      </c>
      <c r="S21" s="17" t="s">
        <v>552</v>
      </c>
      <c r="T21" s="17" t="s">
        <v>141</v>
      </c>
      <c r="U21" s="21" t="s">
        <v>136</v>
      </c>
      <c r="V21" s="17" t="s">
        <v>142</v>
      </c>
    </row>
    <row r="22" spans="1:22" ht="25.5" x14ac:dyDescent="0.25">
      <c r="A22" s="22" t="s">
        <v>652</v>
      </c>
      <c r="B22" s="23" t="s">
        <v>198</v>
      </c>
      <c r="C22" s="22" t="s">
        <v>654</v>
      </c>
      <c r="D22" s="23">
        <v>3</v>
      </c>
      <c r="E22" s="22" t="s">
        <v>217</v>
      </c>
      <c r="F22" s="22" t="s">
        <v>144</v>
      </c>
      <c r="G22" s="22" t="s">
        <v>145</v>
      </c>
      <c r="H22" s="22" t="s">
        <v>146</v>
      </c>
      <c r="I22" s="22" t="s">
        <v>147</v>
      </c>
      <c r="J22" s="19" t="s">
        <v>136</v>
      </c>
      <c r="K22" s="19" t="s">
        <v>136</v>
      </c>
      <c r="L22" s="19" t="s">
        <v>136</v>
      </c>
      <c r="M22" s="22" t="s">
        <v>137</v>
      </c>
      <c r="N22" s="23" t="s">
        <v>137</v>
      </c>
      <c r="O22" s="20" t="s">
        <v>22</v>
      </c>
      <c r="P22" s="24" t="s">
        <v>148</v>
      </c>
      <c r="Q22" s="22" t="s">
        <v>149</v>
      </c>
      <c r="R22" s="22" t="s">
        <v>139</v>
      </c>
      <c r="S22" s="22" t="s">
        <v>150</v>
      </c>
      <c r="T22" s="22" t="s">
        <v>141</v>
      </c>
      <c r="U22" s="25" t="s">
        <v>136</v>
      </c>
      <c r="V22" s="22" t="s">
        <v>142</v>
      </c>
    </row>
    <row r="23" spans="1:22" ht="25.5" x14ac:dyDescent="0.25">
      <c r="A23" s="17" t="s">
        <v>652</v>
      </c>
      <c r="B23" s="18" t="s">
        <v>198</v>
      </c>
      <c r="C23" s="17" t="s">
        <v>655</v>
      </c>
      <c r="D23" s="18">
        <v>3</v>
      </c>
      <c r="E23" s="17" t="s">
        <v>217</v>
      </c>
      <c r="F23" s="17" t="s">
        <v>548</v>
      </c>
      <c r="G23" s="17" t="s">
        <v>549</v>
      </c>
      <c r="H23" s="17" t="s">
        <v>550</v>
      </c>
      <c r="I23" s="17" t="s">
        <v>147</v>
      </c>
      <c r="J23" s="19" t="s">
        <v>136</v>
      </c>
      <c r="K23" s="19" t="s">
        <v>136</v>
      </c>
      <c r="L23" s="19" t="s">
        <v>136</v>
      </c>
      <c r="M23" s="17" t="s">
        <v>137</v>
      </c>
      <c r="N23" s="18" t="s">
        <v>137</v>
      </c>
      <c r="O23" s="20" t="s">
        <v>22</v>
      </c>
      <c r="P23" s="24" t="s">
        <v>148</v>
      </c>
      <c r="Q23" s="17" t="s">
        <v>551</v>
      </c>
      <c r="R23" s="17" t="s">
        <v>139</v>
      </c>
      <c r="S23" s="17" t="s">
        <v>552</v>
      </c>
      <c r="T23" s="17" t="s">
        <v>141</v>
      </c>
      <c r="U23" s="21" t="s">
        <v>136</v>
      </c>
      <c r="V23" s="17" t="s">
        <v>142</v>
      </c>
    </row>
    <row r="24" spans="1:22" ht="25.5" x14ac:dyDescent="0.25">
      <c r="A24" s="22" t="s">
        <v>652</v>
      </c>
      <c r="B24" s="23" t="s">
        <v>198</v>
      </c>
      <c r="C24" s="22" t="s">
        <v>167</v>
      </c>
      <c r="D24" s="23">
        <v>2</v>
      </c>
      <c r="E24" s="22" t="s">
        <v>217</v>
      </c>
      <c r="F24" s="22" t="s">
        <v>163</v>
      </c>
      <c r="G24" s="22" t="s">
        <v>164</v>
      </c>
      <c r="H24" s="22" t="s">
        <v>165</v>
      </c>
      <c r="I24" s="22" t="s">
        <v>136</v>
      </c>
      <c r="J24" s="19" t="s">
        <v>136</v>
      </c>
      <c r="K24" s="19" t="s">
        <v>136</v>
      </c>
      <c r="L24" s="19" t="s">
        <v>136</v>
      </c>
      <c r="M24" s="22" t="s">
        <v>137</v>
      </c>
      <c r="N24" s="23" t="s">
        <v>137</v>
      </c>
      <c r="O24" s="20" t="s">
        <v>22</v>
      </c>
      <c r="P24" s="19" t="s">
        <v>136</v>
      </c>
      <c r="Q24" s="22" t="s">
        <v>138</v>
      </c>
      <c r="R24" s="22" t="s">
        <v>139</v>
      </c>
      <c r="S24" s="22" t="s">
        <v>166</v>
      </c>
      <c r="T24" s="22" t="s">
        <v>141</v>
      </c>
      <c r="U24" s="25" t="s">
        <v>136</v>
      </c>
      <c r="V24" s="22" t="s">
        <v>142</v>
      </c>
    </row>
    <row r="25" spans="1:22" ht="25.5" x14ac:dyDescent="0.25">
      <c r="A25" s="17" t="s">
        <v>652</v>
      </c>
      <c r="B25" s="18" t="s">
        <v>198</v>
      </c>
      <c r="C25" s="17" t="s">
        <v>213</v>
      </c>
      <c r="D25" s="18">
        <v>2</v>
      </c>
      <c r="E25" s="17" t="s">
        <v>217</v>
      </c>
      <c r="F25" s="17" t="s">
        <v>176</v>
      </c>
      <c r="G25" s="17" t="s">
        <v>177</v>
      </c>
      <c r="H25" s="17" t="s">
        <v>178</v>
      </c>
      <c r="I25" s="17" t="s">
        <v>135</v>
      </c>
      <c r="J25" s="19" t="s">
        <v>136</v>
      </c>
      <c r="K25" s="19" t="s">
        <v>136</v>
      </c>
      <c r="L25" s="19" t="s">
        <v>136</v>
      </c>
      <c r="M25" s="17" t="s">
        <v>137</v>
      </c>
      <c r="N25" s="18" t="s">
        <v>137</v>
      </c>
      <c r="O25" s="20" t="s">
        <v>22</v>
      </c>
      <c r="P25" s="19" t="s">
        <v>136</v>
      </c>
      <c r="Q25" s="17" t="s">
        <v>138</v>
      </c>
      <c r="R25" s="17" t="s">
        <v>139</v>
      </c>
      <c r="S25" s="17" t="s">
        <v>179</v>
      </c>
      <c r="T25" s="17" t="s">
        <v>141</v>
      </c>
      <c r="U25" s="21" t="s">
        <v>136</v>
      </c>
      <c r="V25" s="17" t="s">
        <v>142</v>
      </c>
    </row>
    <row r="26" spans="1:22" ht="25.5" x14ac:dyDescent="0.25">
      <c r="A26" s="22" t="s">
        <v>652</v>
      </c>
      <c r="B26" s="23" t="s">
        <v>214</v>
      </c>
      <c r="C26" s="22" t="s">
        <v>556</v>
      </c>
      <c r="D26" s="23">
        <v>3</v>
      </c>
      <c r="E26" s="22" t="s">
        <v>217</v>
      </c>
      <c r="F26" s="22" t="s">
        <v>144</v>
      </c>
      <c r="G26" s="22" t="s">
        <v>145</v>
      </c>
      <c r="H26" s="22" t="s">
        <v>146</v>
      </c>
      <c r="I26" s="22" t="s">
        <v>147</v>
      </c>
      <c r="J26" s="19" t="s">
        <v>136</v>
      </c>
      <c r="K26" s="19" t="s">
        <v>136</v>
      </c>
      <c r="L26" s="19" t="s">
        <v>136</v>
      </c>
      <c r="M26" s="22" t="s">
        <v>137</v>
      </c>
      <c r="N26" s="23" t="s">
        <v>137</v>
      </c>
      <c r="O26" s="20" t="s">
        <v>22</v>
      </c>
      <c r="P26" s="24" t="s">
        <v>148</v>
      </c>
      <c r="Q26" s="22" t="s">
        <v>149</v>
      </c>
      <c r="R26" s="22" t="s">
        <v>139</v>
      </c>
      <c r="S26" s="22" t="s">
        <v>150</v>
      </c>
      <c r="T26" s="22" t="s">
        <v>141</v>
      </c>
      <c r="U26" s="25" t="s">
        <v>136</v>
      </c>
      <c r="V26" s="22" t="s">
        <v>142</v>
      </c>
    </row>
    <row r="27" spans="1:22" ht="25.5" x14ac:dyDescent="0.25">
      <c r="A27" s="17" t="s">
        <v>652</v>
      </c>
      <c r="B27" s="18" t="s">
        <v>214</v>
      </c>
      <c r="C27" s="17" t="s">
        <v>583</v>
      </c>
      <c r="D27" s="18">
        <v>2</v>
      </c>
      <c r="E27" s="17" t="s">
        <v>217</v>
      </c>
      <c r="F27" s="17" t="s">
        <v>132</v>
      </c>
      <c r="G27" s="17" t="s">
        <v>133</v>
      </c>
      <c r="H27" s="17" t="s">
        <v>134</v>
      </c>
      <c r="I27" s="17" t="s">
        <v>135</v>
      </c>
      <c r="J27" s="19" t="s">
        <v>136</v>
      </c>
      <c r="K27" s="19" t="s">
        <v>136</v>
      </c>
      <c r="L27" s="19" t="s">
        <v>136</v>
      </c>
      <c r="M27" s="17" t="s">
        <v>137</v>
      </c>
      <c r="N27" s="18" t="s">
        <v>137</v>
      </c>
      <c r="O27" s="20" t="s">
        <v>22</v>
      </c>
      <c r="P27" s="19" t="s">
        <v>136</v>
      </c>
      <c r="Q27" s="17" t="s">
        <v>138</v>
      </c>
      <c r="R27" s="17" t="s">
        <v>139</v>
      </c>
      <c r="S27" s="17" t="s">
        <v>140</v>
      </c>
      <c r="T27" s="17" t="s">
        <v>141</v>
      </c>
      <c r="U27" s="21" t="s">
        <v>136</v>
      </c>
      <c r="V27" s="17" t="s">
        <v>142</v>
      </c>
    </row>
    <row r="28" spans="1:22" ht="25.5" x14ac:dyDescent="0.25">
      <c r="A28" s="22" t="s">
        <v>652</v>
      </c>
      <c r="B28" s="23" t="s">
        <v>214</v>
      </c>
      <c r="C28" s="22" t="s">
        <v>656</v>
      </c>
      <c r="D28" s="23">
        <v>2</v>
      </c>
      <c r="E28" s="22" t="s">
        <v>217</v>
      </c>
      <c r="F28" s="22" t="s">
        <v>548</v>
      </c>
      <c r="G28" s="22" t="s">
        <v>549</v>
      </c>
      <c r="H28" s="22" t="s">
        <v>550</v>
      </c>
      <c r="I28" s="22" t="s">
        <v>147</v>
      </c>
      <c r="J28" s="19" t="s">
        <v>136</v>
      </c>
      <c r="K28" s="19" t="s">
        <v>136</v>
      </c>
      <c r="L28" s="19" t="s">
        <v>136</v>
      </c>
      <c r="M28" s="22" t="s">
        <v>137</v>
      </c>
      <c r="N28" s="23" t="s">
        <v>137</v>
      </c>
      <c r="O28" s="20" t="s">
        <v>22</v>
      </c>
      <c r="P28" s="24" t="s">
        <v>148</v>
      </c>
      <c r="Q28" s="22" t="s">
        <v>551</v>
      </c>
      <c r="R28" s="22" t="s">
        <v>139</v>
      </c>
      <c r="S28" s="22" t="s">
        <v>552</v>
      </c>
      <c r="T28" s="22" t="s">
        <v>141</v>
      </c>
      <c r="U28" s="25" t="s">
        <v>136</v>
      </c>
      <c r="V28" s="22" t="s">
        <v>142</v>
      </c>
    </row>
    <row r="29" spans="1:22" ht="51" x14ac:dyDescent="0.25">
      <c r="A29" s="17" t="s">
        <v>652</v>
      </c>
      <c r="B29" s="18" t="s">
        <v>214</v>
      </c>
      <c r="C29" s="17" t="s">
        <v>657</v>
      </c>
      <c r="D29" s="18">
        <v>3</v>
      </c>
      <c r="E29" s="17" t="s">
        <v>217</v>
      </c>
      <c r="F29" s="17" t="s">
        <v>407</v>
      </c>
      <c r="G29" s="17" t="s">
        <v>408</v>
      </c>
      <c r="H29" s="17" t="s">
        <v>409</v>
      </c>
      <c r="I29" s="17" t="s">
        <v>410</v>
      </c>
      <c r="J29" s="19" t="s">
        <v>136</v>
      </c>
      <c r="K29" s="19" t="s">
        <v>136</v>
      </c>
      <c r="L29" s="19" t="s">
        <v>136</v>
      </c>
      <c r="M29" s="22" t="s">
        <v>137</v>
      </c>
      <c r="N29" s="23" t="s">
        <v>137</v>
      </c>
      <c r="O29" s="20" t="s">
        <v>22</v>
      </c>
      <c r="P29" s="24" t="s">
        <v>148</v>
      </c>
      <c r="Q29" s="17" t="s">
        <v>157</v>
      </c>
      <c r="R29" s="17" t="s">
        <v>411</v>
      </c>
      <c r="S29" s="17" t="s">
        <v>412</v>
      </c>
      <c r="T29" s="17" t="s">
        <v>241</v>
      </c>
      <c r="U29" s="26" t="s">
        <v>148</v>
      </c>
      <c r="V29" s="17" t="s">
        <v>142</v>
      </c>
    </row>
    <row r="30" spans="1:22" ht="25.5" x14ac:dyDescent="0.25">
      <c r="A30" s="22" t="s">
        <v>652</v>
      </c>
      <c r="B30" s="23" t="s">
        <v>214</v>
      </c>
      <c r="C30" s="22" t="s">
        <v>546</v>
      </c>
      <c r="D30" s="23">
        <v>3</v>
      </c>
      <c r="E30" s="22" t="s">
        <v>217</v>
      </c>
      <c r="F30" s="22" t="s">
        <v>144</v>
      </c>
      <c r="G30" s="22" t="s">
        <v>145</v>
      </c>
      <c r="H30" s="22" t="s">
        <v>146</v>
      </c>
      <c r="I30" s="22" t="s">
        <v>147</v>
      </c>
      <c r="J30" s="19" t="s">
        <v>136</v>
      </c>
      <c r="K30" s="19" t="s">
        <v>136</v>
      </c>
      <c r="L30" s="19" t="s">
        <v>136</v>
      </c>
      <c r="M30" s="22" t="s">
        <v>137</v>
      </c>
      <c r="N30" s="23" t="s">
        <v>137</v>
      </c>
      <c r="O30" s="20" t="s">
        <v>22</v>
      </c>
      <c r="P30" s="24" t="s">
        <v>148</v>
      </c>
      <c r="Q30" s="22" t="s">
        <v>149</v>
      </c>
      <c r="R30" s="22" t="s">
        <v>139</v>
      </c>
      <c r="S30" s="22" t="s">
        <v>150</v>
      </c>
      <c r="T30" s="22" t="s">
        <v>141</v>
      </c>
      <c r="U30" s="25" t="s">
        <v>136</v>
      </c>
      <c r="V30" s="22" t="s">
        <v>142</v>
      </c>
    </row>
    <row r="31" spans="1:22" ht="38.25" x14ac:dyDescent="0.25">
      <c r="A31" s="17" t="s">
        <v>652</v>
      </c>
      <c r="B31" s="18" t="s">
        <v>214</v>
      </c>
      <c r="C31" s="17" t="s">
        <v>66</v>
      </c>
      <c r="D31" s="18">
        <v>2</v>
      </c>
      <c r="E31" s="17" t="s">
        <v>217</v>
      </c>
      <c r="F31" s="17" t="s">
        <v>235</v>
      </c>
      <c r="G31" s="17" t="s">
        <v>236</v>
      </c>
      <c r="H31" s="17" t="s">
        <v>237</v>
      </c>
      <c r="I31" s="17" t="s">
        <v>238</v>
      </c>
      <c r="J31" s="19" t="s">
        <v>136</v>
      </c>
      <c r="K31" s="19" t="s">
        <v>136</v>
      </c>
      <c r="L31" s="19" t="s">
        <v>136</v>
      </c>
      <c r="M31" s="43" t="s">
        <v>950</v>
      </c>
      <c r="N31" s="23" t="s">
        <v>291</v>
      </c>
      <c r="O31" s="24" t="s">
        <v>21</v>
      </c>
      <c r="P31" s="24" t="s">
        <v>148</v>
      </c>
      <c r="Q31" s="17" t="s">
        <v>232</v>
      </c>
      <c r="R31" s="17" t="s">
        <v>67</v>
      </c>
      <c r="S31" s="17" t="s">
        <v>240</v>
      </c>
      <c r="T31" s="17" t="s">
        <v>241</v>
      </c>
      <c r="U31" s="30" t="s">
        <v>54</v>
      </c>
      <c r="V31" s="17" t="s">
        <v>142</v>
      </c>
    </row>
    <row r="32" spans="1:22" ht="38.25" x14ac:dyDescent="0.25">
      <c r="A32" s="22" t="s">
        <v>652</v>
      </c>
      <c r="B32" s="23" t="s">
        <v>214</v>
      </c>
      <c r="C32" s="22" t="s">
        <v>658</v>
      </c>
      <c r="D32" s="23">
        <v>2</v>
      </c>
      <c r="E32" s="22" t="s">
        <v>217</v>
      </c>
      <c r="F32" s="22" t="s">
        <v>485</v>
      </c>
      <c r="G32" s="22" t="s">
        <v>486</v>
      </c>
      <c r="H32" s="22" t="s">
        <v>487</v>
      </c>
      <c r="I32" s="22" t="s">
        <v>488</v>
      </c>
      <c r="J32" s="19" t="s">
        <v>136</v>
      </c>
      <c r="K32" s="19" t="s">
        <v>136</v>
      </c>
      <c r="L32" s="19" t="s">
        <v>136</v>
      </c>
      <c r="M32" s="17" t="s">
        <v>137</v>
      </c>
      <c r="N32" s="18" t="s">
        <v>137</v>
      </c>
      <c r="O32" s="20" t="s">
        <v>22</v>
      </c>
      <c r="P32" s="24" t="s">
        <v>148</v>
      </c>
      <c r="Q32" s="22" t="s">
        <v>490</v>
      </c>
      <c r="R32" s="22" t="s">
        <v>491</v>
      </c>
      <c r="S32" s="22" t="s">
        <v>492</v>
      </c>
      <c r="T32" s="22" t="s">
        <v>160</v>
      </c>
      <c r="U32" s="25" t="s">
        <v>136</v>
      </c>
      <c r="V32" s="22" t="s">
        <v>142</v>
      </c>
    </row>
    <row r="33" spans="1:22" ht="25.5" x14ac:dyDescent="0.25">
      <c r="A33" s="17" t="s">
        <v>652</v>
      </c>
      <c r="B33" s="18" t="s">
        <v>214</v>
      </c>
      <c r="C33" s="17" t="s">
        <v>244</v>
      </c>
      <c r="D33" s="18">
        <v>2</v>
      </c>
      <c r="E33" s="17" t="s">
        <v>217</v>
      </c>
      <c r="F33" s="17" t="s">
        <v>176</v>
      </c>
      <c r="G33" s="17" t="s">
        <v>177</v>
      </c>
      <c r="H33" s="17" t="s">
        <v>178</v>
      </c>
      <c r="I33" s="17" t="s">
        <v>135</v>
      </c>
      <c r="J33" s="19" t="s">
        <v>136</v>
      </c>
      <c r="K33" s="19" t="s">
        <v>136</v>
      </c>
      <c r="L33" s="19" t="s">
        <v>136</v>
      </c>
      <c r="M33" s="17" t="s">
        <v>137</v>
      </c>
      <c r="N33" s="18" t="s">
        <v>137</v>
      </c>
      <c r="O33" s="20" t="s">
        <v>22</v>
      </c>
      <c r="P33" s="19" t="s">
        <v>136</v>
      </c>
      <c r="Q33" s="17" t="s">
        <v>138</v>
      </c>
      <c r="R33" s="17" t="s">
        <v>139</v>
      </c>
      <c r="S33" s="17" t="s">
        <v>179</v>
      </c>
      <c r="T33" s="17" t="s">
        <v>141</v>
      </c>
      <c r="U33" s="21" t="s">
        <v>136</v>
      </c>
      <c r="V33" s="17" t="s">
        <v>142</v>
      </c>
    </row>
    <row r="34" spans="1:22" ht="25.5" x14ac:dyDescent="0.25">
      <c r="A34" s="22" t="s">
        <v>652</v>
      </c>
      <c r="B34" s="23" t="s">
        <v>245</v>
      </c>
      <c r="C34" s="22" t="s">
        <v>659</v>
      </c>
      <c r="D34" s="23">
        <v>2</v>
      </c>
      <c r="E34" s="22" t="s">
        <v>217</v>
      </c>
      <c r="F34" s="22" t="s">
        <v>132</v>
      </c>
      <c r="G34" s="22" t="s">
        <v>133</v>
      </c>
      <c r="H34" s="22" t="s">
        <v>134</v>
      </c>
      <c r="I34" s="22" t="s">
        <v>135</v>
      </c>
      <c r="J34" s="19" t="s">
        <v>136</v>
      </c>
      <c r="K34" s="19" t="s">
        <v>136</v>
      </c>
      <c r="L34" s="19" t="s">
        <v>136</v>
      </c>
      <c r="M34" s="22" t="s">
        <v>137</v>
      </c>
      <c r="N34" s="23" t="s">
        <v>137</v>
      </c>
      <c r="O34" s="20" t="s">
        <v>22</v>
      </c>
      <c r="P34" s="19" t="s">
        <v>136</v>
      </c>
      <c r="Q34" s="22" t="s">
        <v>138</v>
      </c>
      <c r="R34" s="22" t="s">
        <v>139</v>
      </c>
      <c r="S34" s="22" t="s">
        <v>140</v>
      </c>
      <c r="T34" s="22" t="s">
        <v>141</v>
      </c>
      <c r="U34" s="25" t="s">
        <v>136</v>
      </c>
      <c r="V34" s="22" t="s">
        <v>142</v>
      </c>
    </row>
    <row r="35" spans="1:22" ht="25.5" x14ac:dyDescent="0.25">
      <c r="A35" s="17" t="s">
        <v>652</v>
      </c>
      <c r="B35" s="18" t="s">
        <v>245</v>
      </c>
      <c r="C35" s="17" t="s">
        <v>660</v>
      </c>
      <c r="D35" s="18">
        <v>3</v>
      </c>
      <c r="E35" s="17" t="s">
        <v>217</v>
      </c>
      <c r="F35" s="17" t="s">
        <v>569</v>
      </c>
      <c r="G35" s="17" t="s">
        <v>570</v>
      </c>
      <c r="H35" s="17" t="s">
        <v>571</v>
      </c>
      <c r="I35" s="17" t="s">
        <v>572</v>
      </c>
      <c r="J35" s="19" t="s">
        <v>136</v>
      </c>
      <c r="K35" s="19" t="s">
        <v>136</v>
      </c>
      <c r="L35" s="19" t="s">
        <v>136</v>
      </c>
      <c r="M35" s="17" t="s">
        <v>137</v>
      </c>
      <c r="N35" s="18" t="s">
        <v>137</v>
      </c>
      <c r="O35" s="20" t="s">
        <v>22</v>
      </c>
      <c r="P35" s="27" t="s">
        <v>54</v>
      </c>
      <c r="Q35" s="17" t="s">
        <v>573</v>
      </c>
      <c r="R35" s="17" t="s">
        <v>121</v>
      </c>
      <c r="S35" s="17" t="s">
        <v>574</v>
      </c>
      <c r="T35" s="17" t="s">
        <v>210</v>
      </c>
      <c r="U35" s="26" t="s">
        <v>148</v>
      </c>
      <c r="V35" s="17" t="s">
        <v>142</v>
      </c>
    </row>
    <row r="36" spans="1:22" ht="25.5" x14ac:dyDescent="0.25">
      <c r="A36" s="22" t="s">
        <v>652</v>
      </c>
      <c r="B36" s="23" t="s">
        <v>245</v>
      </c>
      <c r="C36" s="22" t="s">
        <v>566</v>
      </c>
      <c r="D36" s="23">
        <v>3</v>
      </c>
      <c r="E36" s="22" t="s">
        <v>217</v>
      </c>
      <c r="F36" s="22" t="s">
        <v>144</v>
      </c>
      <c r="G36" s="22" t="s">
        <v>145</v>
      </c>
      <c r="H36" s="22" t="s">
        <v>146</v>
      </c>
      <c r="I36" s="22" t="s">
        <v>147</v>
      </c>
      <c r="J36" s="19" t="s">
        <v>136</v>
      </c>
      <c r="K36" s="19" t="s">
        <v>136</v>
      </c>
      <c r="L36" s="19" t="s">
        <v>136</v>
      </c>
      <c r="M36" s="22" t="s">
        <v>137</v>
      </c>
      <c r="N36" s="23" t="s">
        <v>137</v>
      </c>
      <c r="O36" s="20" t="s">
        <v>22</v>
      </c>
      <c r="P36" s="24" t="s">
        <v>148</v>
      </c>
      <c r="Q36" s="22" t="s">
        <v>149</v>
      </c>
      <c r="R36" s="22" t="s">
        <v>139</v>
      </c>
      <c r="S36" s="22" t="s">
        <v>150</v>
      </c>
      <c r="T36" s="22" t="s">
        <v>141</v>
      </c>
      <c r="U36" s="25" t="s">
        <v>136</v>
      </c>
      <c r="V36" s="22" t="s">
        <v>142</v>
      </c>
    </row>
    <row r="37" spans="1:22" ht="25.5" x14ac:dyDescent="0.25">
      <c r="A37" s="17" t="s">
        <v>652</v>
      </c>
      <c r="B37" s="18" t="s">
        <v>245</v>
      </c>
      <c r="C37" s="17" t="s">
        <v>661</v>
      </c>
      <c r="D37" s="18">
        <v>3</v>
      </c>
      <c r="E37" s="17" t="s">
        <v>217</v>
      </c>
      <c r="F37" s="17" t="s">
        <v>548</v>
      </c>
      <c r="G37" s="17" t="s">
        <v>549</v>
      </c>
      <c r="H37" s="17" t="s">
        <v>550</v>
      </c>
      <c r="I37" s="17" t="s">
        <v>147</v>
      </c>
      <c r="J37" s="19" t="s">
        <v>136</v>
      </c>
      <c r="K37" s="19" t="s">
        <v>136</v>
      </c>
      <c r="L37" s="19" t="s">
        <v>136</v>
      </c>
      <c r="M37" s="17" t="s">
        <v>137</v>
      </c>
      <c r="N37" s="18" t="s">
        <v>137</v>
      </c>
      <c r="O37" s="20" t="s">
        <v>22</v>
      </c>
      <c r="P37" s="24" t="s">
        <v>148</v>
      </c>
      <c r="Q37" s="17" t="s">
        <v>551</v>
      </c>
      <c r="R37" s="17" t="s">
        <v>139</v>
      </c>
      <c r="S37" s="17" t="s">
        <v>552</v>
      </c>
      <c r="T37" s="17" t="s">
        <v>141</v>
      </c>
      <c r="U37" s="21" t="s">
        <v>136</v>
      </c>
      <c r="V37" s="17" t="s">
        <v>142</v>
      </c>
    </row>
    <row r="38" spans="1:22" ht="51" x14ac:dyDescent="0.25">
      <c r="A38" s="22" t="s">
        <v>652</v>
      </c>
      <c r="B38" s="23" t="s">
        <v>245</v>
      </c>
      <c r="C38" s="22" t="s">
        <v>57</v>
      </c>
      <c r="D38" s="23">
        <v>3</v>
      </c>
      <c r="E38" s="22" t="s">
        <v>217</v>
      </c>
      <c r="F38" s="22" t="s">
        <v>308</v>
      </c>
      <c r="G38" s="22" t="s">
        <v>309</v>
      </c>
      <c r="H38" s="22" t="s">
        <v>310</v>
      </c>
      <c r="I38" s="22" t="s">
        <v>311</v>
      </c>
      <c r="J38" s="19" t="s">
        <v>136</v>
      </c>
      <c r="K38" s="19" t="s">
        <v>136</v>
      </c>
      <c r="L38" s="27" t="s">
        <v>54</v>
      </c>
      <c r="M38" s="17" t="s">
        <v>137</v>
      </c>
      <c r="N38" s="18" t="s">
        <v>137</v>
      </c>
      <c r="O38" s="20" t="s">
        <v>22</v>
      </c>
      <c r="P38" s="19" t="s">
        <v>136</v>
      </c>
      <c r="Q38" s="22" t="s">
        <v>313</v>
      </c>
      <c r="R38" s="22" t="s">
        <v>28</v>
      </c>
      <c r="S38" s="22" t="s">
        <v>314</v>
      </c>
      <c r="T38" s="22" t="s">
        <v>234</v>
      </c>
      <c r="U38" s="31" t="s">
        <v>54</v>
      </c>
      <c r="V38" s="22" t="s">
        <v>142</v>
      </c>
    </row>
    <row r="39" spans="1:22" ht="25.5" x14ac:dyDescent="0.25">
      <c r="A39" s="17" t="s">
        <v>652</v>
      </c>
      <c r="B39" s="18" t="s">
        <v>245</v>
      </c>
      <c r="C39" s="17" t="s">
        <v>195</v>
      </c>
      <c r="D39" s="18">
        <v>2</v>
      </c>
      <c r="E39" s="17" t="s">
        <v>217</v>
      </c>
      <c r="F39" s="17" t="s">
        <v>163</v>
      </c>
      <c r="G39" s="17" t="s">
        <v>164</v>
      </c>
      <c r="H39" s="17" t="s">
        <v>165</v>
      </c>
      <c r="I39" s="17" t="s">
        <v>136</v>
      </c>
      <c r="J39" s="19" t="s">
        <v>136</v>
      </c>
      <c r="K39" s="19" t="s">
        <v>136</v>
      </c>
      <c r="L39" s="19" t="s">
        <v>136</v>
      </c>
      <c r="M39" s="17" t="s">
        <v>137</v>
      </c>
      <c r="N39" s="18" t="s">
        <v>137</v>
      </c>
      <c r="O39" s="20" t="s">
        <v>22</v>
      </c>
      <c r="P39" s="19" t="s">
        <v>136</v>
      </c>
      <c r="Q39" s="17" t="s">
        <v>138</v>
      </c>
      <c r="R39" s="17" t="s">
        <v>139</v>
      </c>
      <c r="S39" s="17" t="s">
        <v>166</v>
      </c>
      <c r="T39" s="17" t="s">
        <v>141</v>
      </c>
      <c r="U39" s="21" t="s">
        <v>136</v>
      </c>
      <c r="V39" s="17" t="s">
        <v>142</v>
      </c>
    </row>
    <row r="40" spans="1:22" ht="25.5" x14ac:dyDescent="0.25">
      <c r="A40" s="22" t="s">
        <v>652</v>
      </c>
      <c r="B40" s="23" t="s">
        <v>245</v>
      </c>
      <c r="C40" s="22" t="s">
        <v>284</v>
      </c>
      <c r="D40" s="23">
        <v>2</v>
      </c>
      <c r="E40" s="22" t="s">
        <v>217</v>
      </c>
      <c r="F40" s="22" t="s">
        <v>176</v>
      </c>
      <c r="G40" s="22" t="s">
        <v>177</v>
      </c>
      <c r="H40" s="22" t="s">
        <v>178</v>
      </c>
      <c r="I40" s="22" t="s">
        <v>135</v>
      </c>
      <c r="J40" s="19" t="s">
        <v>136</v>
      </c>
      <c r="K40" s="19" t="s">
        <v>136</v>
      </c>
      <c r="L40" s="19" t="s">
        <v>136</v>
      </c>
      <c r="M40" s="22" t="s">
        <v>137</v>
      </c>
      <c r="N40" s="23" t="s">
        <v>137</v>
      </c>
      <c r="O40" s="20" t="s">
        <v>22</v>
      </c>
      <c r="P40" s="19" t="s">
        <v>136</v>
      </c>
      <c r="Q40" s="22" t="s">
        <v>138</v>
      </c>
      <c r="R40" s="22" t="s">
        <v>139</v>
      </c>
      <c r="S40" s="22" t="s">
        <v>179</v>
      </c>
      <c r="T40" s="22" t="s">
        <v>141</v>
      </c>
      <c r="U40" s="25" t="s">
        <v>136</v>
      </c>
      <c r="V40" s="22" t="s">
        <v>142</v>
      </c>
    </row>
    <row r="41" spans="1:22" ht="51" x14ac:dyDescent="0.25">
      <c r="A41" s="17" t="s">
        <v>652</v>
      </c>
      <c r="B41" s="18" t="s">
        <v>285</v>
      </c>
      <c r="C41" s="17" t="s">
        <v>662</v>
      </c>
      <c r="D41" s="18">
        <v>3</v>
      </c>
      <c r="E41" s="17" t="s">
        <v>217</v>
      </c>
      <c r="F41" s="17" t="s">
        <v>407</v>
      </c>
      <c r="G41" s="17" t="s">
        <v>408</v>
      </c>
      <c r="H41" s="17" t="s">
        <v>409</v>
      </c>
      <c r="I41" s="17" t="s">
        <v>410</v>
      </c>
      <c r="J41" s="19" t="s">
        <v>136</v>
      </c>
      <c r="K41" s="19" t="s">
        <v>136</v>
      </c>
      <c r="L41" s="19" t="s">
        <v>136</v>
      </c>
      <c r="M41" s="22" t="s">
        <v>137</v>
      </c>
      <c r="N41" s="23" t="s">
        <v>137</v>
      </c>
      <c r="O41" s="20" t="s">
        <v>22</v>
      </c>
      <c r="P41" s="24" t="s">
        <v>148</v>
      </c>
      <c r="Q41" s="17" t="s">
        <v>157</v>
      </c>
      <c r="R41" s="17" t="s">
        <v>411</v>
      </c>
      <c r="S41" s="17" t="s">
        <v>412</v>
      </c>
      <c r="T41" s="17" t="s">
        <v>241</v>
      </c>
      <c r="U41" s="26" t="s">
        <v>148</v>
      </c>
      <c r="V41" s="17" t="s">
        <v>142</v>
      </c>
    </row>
    <row r="42" spans="1:22" ht="25.5" x14ac:dyDescent="0.25">
      <c r="A42" s="22" t="s">
        <v>652</v>
      </c>
      <c r="B42" s="23" t="s">
        <v>285</v>
      </c>
      <c r="C42" s="22" t="s">
        <v>663</v>
      </c>
      <c r="D42" s="23">
        <v>3</v>
      </c>
      <c r="E42" s="22" t="s">
        <v>217</v>
      </c>
      <c r="F42" s="22" t="s">
        <v>548</v>
      </c>
      <c r="G42" s="22" t="s">
        <v>549</v>
      </c>
      <c r="H42" s="22" t="s">
        <v>550</v>
      </c>
      <c r="I42" s="22" t="s">
        <v>147</v>
      </c>
      <c r="J42" s="19" t="s">
        <v>136</v>
      </c>
      <c r="K42" s="19" t="s">
        <v>136</v>
      </c>
      <c r="L42" s="19" t="s">
        <v>136</v>
      </c>
      <c r="M42" s="22" t="s">
        <v>137</v>
      </c>
      <c r="N42" s="23" t="s">
        <v>137</v>
      </c>
      <c r="O42" s="20" t="s">
        <v>22</v>
      </c>
      <c r="P42" s="24" t="s">
        <v>148</v>
      </c>
      <c r="Q42" s="22" t="s">
        <v>551</v>
      </c>
      <c r="R42" s="22" t="s">
        <v>139</v>
      </c>
      <c r="S42" s="22" t="s">
        <v>552</v>
      </c>
      <c r="T42" s="22" t="s">
        <v>141</v>
      </c>
      <c r="U42" s="25" t="s">
        <v>136</v>
      </c>
      <c r="V42" s="22" t="s">
        <v>142</v>
      </c>
    </row>
    <row r="43" spans="1:22" ht="25.5" x14ac:dyDescent="0.25">
      <c r="A43" s="17" t="s">
        <v>652</v>
      </c>
      <c r="B43" s="18" t="s">
        <v>285</v>
      </c>
      <c r="C43" s="17" t="s">
        <v>664</v>
      </c>
      <c r="D43" s="18">
        <v>3</v>
      </c>
      <c r="E43" s="17" t="s">
        <v>217</v>
      </c>
      <c r="F43" s="17" t="s">
        <v>569</v>
      </c>
      <c r="G43" s="17" t="s">
        <v>570</v>
      </c>
      <c r="H43" s="17" t="s">
        <v>571</v>
      </c>
      <c r="I43" s="17" t="s">
        <v>572</v>
      </c>
      <c r="J43" s="19" t="s">
        <v>136</v>
      </c>
      <c r="K43" s="19" t="s">
        <v>136</v>
      </c>
      <c r="L43" s="19" t="s">
        <v>136</v>
      </c>
      <c r="M43" s="17" t="s">
        <v>137</v>
      </c>
      <c r="N43" s="18" t="s">
        <v>137</v>
      </c>
      <c r="O43" s="20" t="s">
        <v>22</v>
      </c>
      <c r="P43" s="27" t="s">
        <v>54</v>
      </c>
      <c r="Q43" s="17" t="s">
        <v>573</v>
      </c>
      <c r="R43" s="17" t="s">
        <v>121</v>
      </c>
      <c r="S43" s="17" t="s">
        <v>574</v>
      </c>
      <c r="T43" s="17" t="s">
        <v>210</v>
      </c>
      <c r="U43" s="26" t="s">
        <v>148</v>
      </c>
      <c r="V43" s="17" t="s">
        <v>142</v>
      </c>
    </row>
    <row r="44" spans="1:22" ht="25.5" x14ac:dyDescent="0.25">
      <c r="A44" s="22" t="s">
        <v>652</v>
      </c>
      <c r="B44" s="23" t="s">
        <v>285</v>
      </c>
      <c r="C44" s="22" t="s">
        <v>665</v>
      </c>
      <c r="D44" s="23">
        <v>3</v>
      </c>
      <c r="E44" s="22" t="s">
        <v>217</v>
      </c>
      <c r="F44" s="22" t="s">
        <v>548</v>
      </c>
      <c r="G44" s="22" t="s">
        <v>549</v>
      </c>
      <c r="H44" s="22" t="s">
        <v>550</v>
      </c>
      <c r="I44" s="22" t="s">
        <v>147</v>
      </c>
      <c r="J44" s="19" t="s">
        <v>136</v>
      </c>
      <c r="K44" s="19" t="s">
        <v>136</v>
      </c>
      <c r="L44" s="19" t="s">
        <v>136</v>
      </c>
      <c r="M44" s="22" t="s">
        <v>137</v>
      </c>
      <c r="N44" s="23" t="s">
        <v>137</v>
      </c>
      <c r="O44" s="20" t="s">
        <v>22</v>
      </c>
      <c r="P44" s="24" t="s">
        <v>148</v>
      </c>
      <c r="Q44" s="22" t="s">
        <v>551</v>
      </c>
      <c r="R44" s="22" t="s">
        <v>139</v>
      </c>
      <c r="S44" s="22" t="s">
        <v>552</v>
      </c>
      <c r="T44" s="22" t="s">
        <v>141</v>
      </c>
      <c r="U44" s="25" t="s">
        <v>136</v>
      </c>
      <c r="V44" s="22" t="s">
        <v>142</v>
      </c>
    </row>
    <row r="45" spans="1:22" ht="38.25" x14ac:dyDescent="0.25">
      <c r="A45" s="17" t="s">
        <v>652</v>
      </c>
      <c r="B45" s="18" t="s">
        <v>285</v>
      </c>
      <c r="C45" s="17" t="s">
        <v>666</v>
      </c>
      <c r="D45" s="18">
        <v>3</v>
      </c>
      <c r="E45" s="17" t="s">
        <v>217</v>
      </c>
      <c r="F45" s="17" t="s">
        <v>358</v>
      </c>
      <c r="G45" s="17" t="s">
        <v>359</v>
      </c>
      <c r="H45" s="17" t="s">
        <v>360</v>
      </c>
      <c r="I45" s="17" t="s">
        <v>361</v>
      </c>
      <c r="J45" s="19" t="s">
        <v>136</v>
      </c>
      <c r="K45" s="19" t="s">
        <v>136</v>
      </c>
      <c r="L45" s="19" t="s">
        <v>136</v>
      </c>
      <c r="M45" s="22" t="s">
        <v>137</v>
      </c>
      <c r="N45" s="23" t="s">
        <v>137</v>
      </c>
      <c r="O45" s="20" t="s">
        <v>22</v>
      </c>
      <c r="P45" s="24" t="s">
        <v>148</v>
      </c>
      <c r="Q45" s="17" t="s">
        <v>157</v>
      </c>
      <c r="R45" s="17" t="s">
        <v>28</v>
      </c>
      <c r="S45" s="17" t="s">
        <v>362</v>
      </c>
      <c r="T45" s="17" t="s">
        <v>234</v>
      </c>
      <c r="U45" s="30" t="s">
        <v>54</v>
      </c>
      <c r="V45" s="17" t="s">
        <v>142</v>
      </c>
    </row>
    <row r="46" spans="1:22" ht="25.5" x14ac:dyDescent="0.25">
      <c r="A46" s="22" t="s">
        <v>652</v>
      </c>
      <c r="B46" s="23" t="s">
        <v>285</v>
      </c>
      <c r="C46" s="22" t="s">
        <v>211</v>
      </c>
      <c r="D46" s="23">
        <v>2</v>
      </c>
      <c r="E46" s="22" t="s">
        <v>217</v>
      </c>
      <c r="F46" s="22" t="s">
        <v>163</v>
      </c>
      <c r="G46" s="22" t="s">
        <v>164</v>
      </c>
      <c r="H46" s="22" t="s">
        <v>165</v>
      </c>
      <c r="I46" s="22" t="s">
        <v>136</v>
      </c>
      <c r="J46" s="19" t="s">
        <v>136</v>
      </c>
      <c r="K46" s="19" t="s">
        <v>136</v>
      </c>
      <c r="L46" s="19" t="s">
        <v>136</v>
      </c>
      <c r="M46" s="22" t="s">
        <v>137</v>
      </c>
      <c r="N46" s="23" t="s">
        <v>137</v>
      </c>
      <c r="O46" s="20" t="s">
        <v>22</v>
      </c>
      <c r="P46" s="19" t="s">
        <v>136</v>
      </c>
      <c r="Q46" s="22" t="s">
        <v>138</v>
      </c>
      <c r="R46" s="22" t="s">
        <v>139</v>
      </c>
      <c r="S46" s="22" t="s">
        <v>166</v>
      </c>
      <c r="T46" s="22" t="s">
        <v>141</v>
      </c>
      <c r="U46" s="25" t="s">
        <v>136</v>
      </c>
      <c r="V46" s="22" t="s">
        <v>142</v>
      </c>
    </row>
    <row r="47" spans="1:22" ht="25.5" x14ac:dyDescent="0.25">
      <c r="A47" s="17" t="s">
        <v>652</v>
      </c>
      <c r="B47" s="18" t="s">
        <v>285</v>
      </c>
      <c r="C47" s="17" t="s">
        <v>330</v>
      </c>
      <c r="D47" s="18">
        <v>2</v>
      </c>
      <c r="E47" s="17" t="s">
        <v>217</v>
      </c>
      <c r="F47" s="17" t="s">
        <v>176</v>
      </c>
      <c r="G47" s="17" t="s">
        <v>177</v>
      </c>
      <c r="H47" s="17" t="s">
        <v>178</v>
      </c>
      <c r="I47" s="17" t="s">
        <v>135</v>
      </c>
      <c r="J47" s="19" t="s">
        <v>136</v>
      </c>
      <c r="K47" s="19" t="s">
        <v>136</v>
      </c>
      <c r="L47" s="19" t="s">
        <v>136</v>
      </c>
      <c r="M47" s="22" t="s">
        <v>137</v>
      </c>
      <c r="N47" s="23" t="s">
        <v>137</v>
      </c>
      <c r="O47" s="20" t="s">
        <v>22</v>
      </c>
      <c r="P47" s="19" t="s">
        <v>136</v>
      </c>
      <c r="Q47" s="17" t="s">
        <v>138</v>
      </c>
      <c r="R47" s="17" t="s">
        <v>139</v>
      </c>
      <c r="S47" s="17" t="s">
        <v>179</v>
      </c>
      <c r="T47" s="17" t="s">
        <v>141</v>
      </c>
      <c r="U47" s="21" t="s">
        <v>136</v>
      </c>
      <c r="V47" s="17" t="s">
        <v>142</v>
      </c>
    </row>
    <row r="48" spans="1:22" ht="25.5" x14ac:dyDescent="0.25">
      <c r="A48" s="22" t="s">
        <v>652</v>
      </c>
      <c r="B48" s="23" t="s">
        <v>331</v>
      </c>
      <c r="C48" s="22" t="s">
        <v>667</v>
      </c>
      <c r="D48" s="23">
        <v>3</v>
      </c>
      <c r="E48" s="22" t="s">
        <v>217</v>
      </c>
      <c r="F48" s="22" t="s">
        <v>255</v>
      </c>
      <c r="G48" s="22" t="s">
        <v>256</v>
      </c>
      <c r="H48" s="22" t="s">
        <v>257</v>
      </c>
      <c r="I48" s="22" t="s">
        <v>258</v>
      </c>
      <c r="J48" s="19" t="s">
        <v>136</v>
      </c>
      <c r="K48" s="19" t="s">
        <v>136</v>
      </c>
      <c r="L48" s="19" t="s">
        <v>136</v>
      </c>
      <c r="M48" s="22" t="s">
        <v>137</v>
      </c>
      <c r="N48" s="23" t="s">
        <v>137</v>
      </c>
      <c r="O48" s="20" t="s">
        <v>22</v>
      </c>
      <c r="P48" s="24" t="s">
        <v>148</v>
      </c>
      <c r="Q48" s="22" t="s">
        <v>259</v>
      </c>
      <c r="R48" s="22" t="s">
        <v>260</v>
      </c>
      <c r="S48" s="22" t="s">
        <v>261</v>
      </c>
      <c r="T48" s="22" t="s">
        <v>241</v>
      </c>
      <c r="U48" s="28" t="s">
        <v>148</v>
      </c>
      <c r="V48" s="22" t="s">
        <v>142</v>
      </c>
    </row>
    <row r="49" spans="1:22" ht="25.5" x14ac:dyDescent="0.25">
      <c r="A49" s="17" t="s">
        <v>652</v>
      </c>
      <c r="B49" s="18" t="s">
        <v>331</v>
      </c>
      <c r="C49" s="17" t="s">
        <v>584</v>
      </c>
      <c r="D49" s="18">
        <v>3</v>
      </c>
      <c r="E49" s="17" t="s">
        <v>217</v>
      </c>
      <c r="F49" s="17" t="s">
        <v>144</v>
      </c>
      <c r="G49" s="17" t="s">
        <v>145</v>
      </c>
      <c r="H49" s="17" t="s">
        <v>146</v>
      </c>
      <c r="I49" s="17" t="s">
        <v>147</v>
      </c>
      <c r="J49" s="19" t="s">
        <v>136</v>
      </c>
      <c r="K49" s="19" t="s">
        <v>136</v>
      </c>
      <c r="L49" s="19" t="s">
        <v>136</v>
      </c>
      <c r="M49" s="22" t="s">
        <v>137</v>
      </c>
      <c r="N49" s="23" t="s">
        <v>137</v>
      </c>
      <c r="O49" s="20" t="s">
        <v>22</v>
      </c>
      <c r="P49" s="24" t="s">
        <v>148</v>
      </c>
      <c r="Q49" s="17" t="s">
        <v>149</v>
      </c>
      <c r="R49" s="17" t="s">
        <v>139</v>
      </c>
      <c r="S49" s="17" t="s">
        <v>150</v>
      </c>
      <c r="T49" s="17" t="s">
        <v>141</v>
      </c>
      <c r="U49" s="21" t="s">
        <v>136</v>
      </c>
      <c r="V49" s="17" t="s">
        <v>142</v>
      </c>
    </row>
    <row r="50" spans="1:22" ht="25.5" x14ac:dyDescent="0.25">
      <c r="A50" s="22" t="s">
        <v>652</v>
      </c>
      <c r="B50" s="23" t="s">
        <v>331</v>
      </c>
      <c r="C50" s="22" t="s">
        <v>668</v>
      </c>
      <c r="D50" s="23">
        <v>3</v>
      </c>
      <c r="E50" s="22" t="s">
        <v>217</v>
      </c>
      <c r="F50" s="22" t="s">
        <v>569</v>
      </c>
      <c r="G50" s="22" t="s">
        <v>570</v>
      </c>
      <c r="H50" s="22" t="s">
        <v>571</v>
      </c>
      <c r="I50" s="22" t="s">
        <v>572</v>
      </c>
      <c r="J50" s="19" t="s">
        <v>136</v>
      </c>
      <c r="K50" s="19" t="s">
        <v>136</v>
      </c>
      <c r="L50" s="19" t="s">
        <v>136</v>
      </c>
      <c r="M50" s="22" t="s">
        <v>137</v>
      </c>
      <c r="N50" s="23" t="s">
        <v>137</v>
      </c>
      <c r="O50" s="20" t="s">
        <v>22</v>
      </c>
      <c r="P50" s="27" t="s">
        <v>54</v>
      </c>
      <c r="Q50" s="22" t="s">
        <v>573</v>
      </c>
      <c r="R50" s="22" t="s">
        <v>121</v>
      </c>
      <c r="S50" s="22" t="s">
        <v>574</v>
      </c>
      <c r="T50" s="22" t="s">
        <v>210</v>
      </c>
      <c r="U50" s="28" t="s">
        <v>148</v>
      </c>
      <c r="V50" s="22" t="s">
        <v>142</v>
      </c>
    </row>
    <row r="51" spans="1:22" ht="38.25" x14ac:dyDescent="0.25">
      <c r="A51" s="17" t="s">
        <v>652</v>
      </c>
      <c r="B51" s="18" t="s">
        <v>331</v>
      </c>
      <c r="C51" s="17" t="s">
        <v>669</v>
      </c>
      <c r="D51" s="18">
        <v>1</v>
      </c>
      <c r="E51" s="17" t="s">
        <v>217</v>
      </c>
      <c r="F51" s="17" t="s">
        <v>358</v>
      </c>
      <c r="G51" s="17" t="s">
        <v>359</v>
      </c>
      <c r="H51" s="17" t="s">
        <v>360</v>
      </c>
      <c r="I51" s="17" t="s">
        <v>361</v>
      </c>
      <c r="J51" s="19" t="s">
        <v>136</v>
      </c>
      <c r="K51" s="19" t="s">
        <v>136</v>
      </c>
      <c r="L51" s="19" t="s">
        <v>136</v>
      </c>
      <c r="M51" s="22" t="s">
        <v>137</v>
      </c>
      <c r="N51" s="23" t="s">
        <v>137</v>
      </c>
      <c r="O51" s="20" t="s">
        <v>22</v>
      </c>
      <c r="P51" s="24" t="s">
        <v>148</v>
      </c>
      <c r="Q51" s="17" t="s">
        <v>157</v>
      </c>
      <c r="R51" s="17" t="s">
        <v>28</v>
      </c>
      <c r="S51" s="17" t="s">
        <v>362</v>
      </c>
      <c r="T51" s="17" t="s">
        <v>234</v>
      </c>
      <c r="U51" s="30" t="s">
        <v>54</v>
      </c>
      <c r="V51" s="17" t="s">
        <v>142</v>
      </c>
    </row>
    <row r="52" spans="1:22" ht="38.25" x14ac:dyDescent="0.25">
      <c r="A52" s="22" t="s">
        <v>652</v>
      </c>
      <c r="B52" s="23" t="s">
        <v>331</v>
      </c>
      <c r="C52" s="22" t="s">
        <v>356</v>
      </c>
      <c r="D52" s="23">
        <v>3</v>
      </c>
      <c r="E52" s="22" t="s">
        <v>217</v>
      </c>
      <c r="F52" s="22" t="s">
        <v>216</v>
      </c>
      <c r="G52" s="22" t="s">
        <v>217</v>
      </c>
      <c r="H52" s="22" t="s">
        <v>217</v>
      </c>
      <c r="I52" s="22" t="s">
        <v>218</v>
      </c>
      <c r="J52" s="29" t="s">
        <v>219</v>
      </c>
      <c r="K52" s="29" t="s">
        <v>219</v>
      </c>
      <c r="L52" s="29" t="s">
        <v>219</v>
      </c>
      <c r="M52" s="22" t="s">
        <v>220</v>
      </c>
      <c r="N52" s="23" t="s">
        <v>137</v>
      </c>
      <c r="O52" s="29" t="s">
        <v>23</v>
      </c>
      <c r="P52" s="29" t="s">
        <v>219</v>
      </c>
      <c r="Q52" s="22" t="s">
        <v>221</v>
      </c>
      <c r="R52" s="22" t="s">
        <v>222</v>
      </c>
      <c r="S52" s="22" t="s">
        <v>223</v>
      </c>
      <c r="T52" s="22" t="s">
        <v>224</v>
      </c>
      <c r="U52" s="28" t="s">
        <v>148</v>
      </c>
      <c r="V52" s="22" t="s">
        <v>217</v>
      </c>
    </row>
    <row r="53" spans="1:22" ht="25.5" x14ac:dyDescent="0.25">
      <c r="A53" s="17" t="s">
        <v>652</v>
      </c>
      <c r="B53" s="18" t="s">
        <v>331</v>
      </c>
      <c r="C53" s="17" t="s">
        <v>242</v>
      </c>
      <c r="D53" s="18">
        <v>2</v>
      </c>
      <c r="E53" s="17" t="s">
        <v>217</v>
      </c>
      <c r="F53" s="17" t="s">
        <v>163</v>
      </c>
      <c r="G53" s="17" t="s">
        <v>164</v>
      </c>
      <c r="H53" s="17" t="s">
        <v>165</v>
      </c>
      <c r="I53" s="17" t="s">
        <v>136</v>
      </c>
      <c r="J53" s="19" t="s">
        <v>136</v>
      </c>
      <c r="K53" s="19" t="s">
        <v>136</v>
      </c>
      <c r="L53" s="19" t="s">
        <v>136</v>
      </c>
      <c r="M53" s="17" t="s">
        <v>137</v>
      </c>
      <c r="N53" s="18" t="s">
        <v>137</v>
      </c>
      <c r="O53" s="20" t="s">
        <v>22</v>
      </c>
      <c r="P53" s="19" t="s">
        <v>136</v>
      </c>
      <c r="Q53" s="17" t="s">
        <v>138</v>
      </c>
      <c r="R53" s="17" t="s">
        <v>139</v>
      </c>
      <c r="S53" s="17" t="s">
        <v>166</v>
      </c>
      <c r="T53" s="17" t="s">
        <v>141</v>
      </c>
      <c r="U53" s="21" t="s">
        <v>136</v>
      </c>
      <c r="V53" s="17" t="s">
        <v>142</v>
      </c>
    </row>
    <row r="54" spans="1:22" ht="25.5" x14ac:dyDescent="0.25">
      <c r="A54" s="22" t="s">
        <v>652</v>
      </c>
      <c r="B54" s="23" t="s">
        <v>331</v>
      </c>
      <c r="C54" s="22" t="s">
        <v>363</v>
      </c>
      <c r="D54" s="23">
        <v>2</v>
      </c>
      <c r="E54" s="22" t="s">
        <v>217</v>
      </c>
      <c r="F54" s="22" t="s">
        <v>176</v>
      </c>
      <c r="G54" s="22" t="s">
        <v>177</v>
      </c>
      <c r="H54" s="22" t="s">
        <v>178</v>
      </c>
      <c r="I54" s="22" t="s">
        <v>135</v>
      </c>
      <c r="J54" s="19" t="s">
        <v>136</v>
      </c>
      <c r="K54" s="19" t="s">
        <v>136</v>
      </c>
      <c r="L54" s="19" t="s">
        <v>136</v>
      </c>
      <c r="M54" s="22" t="s">
        <v>137</v>
      </c>
      <c r="N54" s="23" t="s">
        <v>137</v>
      </c>
      <c r="O54" s="20" t="s">
        <v>22</v>
      </c>
      <c r="P54" s="19" t="s">
        <v>136</v>
      </c>
      <c r="Q54" s="22" t="s">
        <v>138</v>
      </c>
      <c r="R54" s="22" t="s">
        <v>139</v>
      </c>
      <c r="S54" s="22" t="s">
        <v>179</v>
      </c>
      <c r="T54" s="22" t="s">
        <v>141</v>
      </c>
      <c r="U54" s="25" t="s">
        <v>136</v>
      </c>
      <c r="V54" s="22" t="s">
        <v>142</v>
      </c>
    </row>
    <row r="55" spans="1:22" ht="38.25" x14ac:dyDescent="0.25">
      <c r="A55" s="17" t="s">
        <v>652</v>
      </c>
      <c r="B55" s="18" t="s">
        <v>364</v>
      </c>
      <c r="C55" s="17" t="s">
        <v>349</v>
      </c>
      <c r="D55" s="18">
        <v>6</v>
      </c>
      <c r="E55" s="17" t="s">
        <v>217</v>
      </c>
      <c r="F55" s="17" t="s">
        <v>350</v>
      </c>
      <c r="G55" s="17" t="s">
        <v>351</v>
      </c>
      <c r="H55" s="17" t="s">
        <v>352</v>
      </c>
      <c r="I55" s="17" t="s">
        <v>353</v>
      </c>
      <c r="J55" s="19" t="s">
        <v>136</v>
      </c>
      <c r="K55" s="19" t="s">
        <v>136</v>
      </c>
      <c r="L55" s="19" t="s">
        <v>136</v>
      </c>
      <c r="M55" s="22" t="s">
        <v>137</v>
      </c>
      <c r="N55" s="23" t="s">
        <v>137</v>
      </c>
      <c r="O55" s="20" t="s">
        <v>22</v>
      </c>
      <c r="P55" s="19" t="s">
        <v>136</v>
      </c>
      <c r="Q55" s="17" t="s">
        <v>157</v>
      </c>
      <c r="R55" s="17" t="s">
        <v>354</v>
      </c>
      <c r="S55" s="17" t="s">
        <v>355</v>
      </c>
      <c r="T55" s="17" t="s">
        <v>160</v>
      </c>
      <c r="U55" s="26" t="s">
        <v>148</v>
      </c>
      <c r="V55" s="17" t="s">
        <v>142</v>
      </c>
    </row>
    <row r="56" spans="1:22" ht="38.25" x14ac:dyDescent="0.25">
      <c r="A56" s="22" t="s">
        <v>652</v>
      </c>
      <c r="B56" s="23" t="s">
        <v>364</v>
      </c>
      <c r="C56" s="22" t="s">
        <v>365</v>
      </c>
      <c r="D56" s="23">
        <v>2</v>
      </c>
      <c r="E56" s="22" t="s">
        <v>217</v>
      </c>
      <c r="F56" s="22" t="s">
        <v>216</v>
      </c>
      <c r="G56" s="22" t="s">
        <v>217</v>
      </c>
      <c r="H56" s="22" t="s">
        <v>217</v>
      </c>
      <c r="I56" s="22" t="s">
        <v>218</v>
      </c>
      <c r="J56" s="29" t="s">
        <v>219</v>
      </c>
      <c r="K56" s="29" t="s">
        <v>219</v>
      </c>
      <c r="L56" s="29" t="s">
        <v>219</v>
      </c>
      <c r="M56" s="22" t="s">
        <v>220</v>
      </c>
      <c r="N56" s="23" t="s">
        <v>137</v>
      </c>
      <c r="O56" s="29" t="s">
        <v>23</v>
      </c>
      <c r="P56" s="29" t="s">
        <v>219</v>
      </c>
      <c r="Q56" s="22" t="s">
        <v>221</v>
      </c>
      <c r="R56" s="22" t="s">
        <v>222</v>
      </c>
      <c r="S56" s="22" t="s">
        <v>223</v>
      </c>
      <c r="T56" s="22" t="s">
        <v>224</v>
      </c>
      <c r="U56" s="28" t="s">
        <v>148</v>
      </c>
      <c r="V56" s="22" t="s">
        <v>217</v>
      </c>
    </row>
    <row r="57" spans="1:22" ht="38.25" x14ac:dyDescent="0.25">
      <c r="A57" s="17" t="s">
        <v>652</v>
      </c>
      <c r="B57" s="18" t="s">
        <v>364</v>
      </c>
      <c r="C57" s="17" t="s">
        <v>366</v>
      </c>
      <c r="D57" s="18">
        <v>2</v>
      </c>
      <c r="E57" s="17" t="s">
        <v>217</v>
      </c>
      <c r="F57" s="17" t="s">
        <v>216</v>
      </c>
      <c r="G57" s="17" t="s">
        <v>217</v>
      </c>
      <c r="H57" s="17" t="s">
        <v>217</v>
      </c>
      <c r="I57" s="17" t="s">
        <v>218</v>
      </c>
      <c r="J57" s="29" t="s">
        <v>219</v>
      </c>
      <c r="K57" s="29" t="s">
        <v>219</v>
      </c>
      <c r="L57" s="29" t="s">
        <v>219</v>
      </c>
      <c r="M57" s="17" t="s">
        <v>220</v>
      </c>
      <c r="N57" s="18" t="s">
        <v>137</v>
      </c>
      <c r="O57" s="29" t="s">
        <v>23</v>
      </c>
      <c r="P57" s="29" t="s">
        <v>219</v>
      </c>
      <c r="Q57" s="17" t="s">
        <v>221</v>
      </c>
      <c r="R57" s="17" t="s">
        <v>222</v>
      </c>
      <c r="S57" s="17" t="s">
        <v>223</v>
      </c>
      <c r="T57" s="17" t="s">
        <v>224</v>
      </c>
      <c r="U57" s="26" t="s">
        <v>148</v>
      </c>
      <c r="V57" s="17" t="s">
        <v>217</v>
      </c>
    </row>
    <row r="58" spans="1:22" ht="38.25" x14ac:dyDescent="0.25">
      <c r="A58" s="22" t="s">
        <v>652</v>
      </c>
      <c r="B58" s="23" t="s">
        <v>364</v>
      </c>
      <c r="C58" s="22" t="s">
        <v>368</v>
      </c>
      <c r="D58" s="23">
        <v>3</v>
      </c>
      <c r="E58" s="22" t="s">
        <v>217</v>
      </c>
      <c r="F58" s="22" t="s">
        <v>216</v>
      </c>
      <c r="G58" s="22" t="s">
        <v>217</v>
      </c>
      <c r="H58" s="22" t="s">
        <v>217</v>
      </c>
      <c r="I58" s="22" t="s">
        <v>218</v>
      </c>
      <c r="J58" s="29" t="s">
        <v>219</v>
      </c>
      <c r="K58" s="29" t="s">
        <v>219</v>
      </c>
      <c r="L58" s="29" t="s">
        <v>219</v>
      </c>
      <c r="M58" s="22" t="s">
        <v>220</v>
      </c>
      <c r="N58" s="23" t="s">
        <v>137</v>
      </c>
      <c r="O58" s="29" t="s">
        <v>23</v>
      </c>
      <c r="P58" s="29" t="s">
        <v>219</v>
      </c>
      <c r="Q58" s="22" t="s">
        <v>221</v>
      </c>
      <c r="R58" s="22" t="s">
        <v>222</v>
      </c>
      <c r="S58" s="22" t="s">
        <v>223</v>
      </c>
      <c r="T58" s="22" t="s">
        <v>224</v>
      </c>
      <c r="U58" s="28" t="s">
        <v>148</v>
      </c>
      <c r="V58" s="22" t="s">
        <v>217</v>
      </c>
    </row>
    <row r="59" spans="1:22" ht="25.5" x14ac:dyDescent="0.25">
      <c r="A59" s="17" t="s">
        <v>652</v>
      </c>
      <c r="B59" s="18" t="s">
        <v>364</v>
      </c>
      <c r="C59" s="17" t="s">
        <v>371</v>
      </c>
      <c r="D59" s="18">
        <v>2</v>
      </c>
      <c r="E59" s="17" t="s">
        <v>217</v>
      </c>
      <c r="F59" s="17" t="s">
        <v>176</v>
      </c>
      <c r="G59" s="17" t="s">
        <v>177</v>
      </c>
      <c r="H59" s="17" t="s">
        <v>178</v>
      </c>
      <c r="I59" s="17" t="s">
        <v>135</v>
      </c>
      <c r="J59" s="19" t="s">
        <v>136</v>
      </c>
      <c r="K59" s="19" t="s">
        <v>136</v>
      </c>
      <c r="L59" s="19" t="s">
        <v>136</v>
      </c>
      <c r="M59" s="17" t="s">
        <v>137</v>
      </c>
      <c r="N59" s="18" t="s">
        <v>137</v>
      </c>
      <c r="O59" s="20" t="s">
        <v>22</v>
      </c>
      <c r="P59" s="19" t="s">
        <v>136</v>
      </c>
      <c r="Q59" s="17" t="s">
        <v>138</v>
      </c>
      <c r="R59" s="17" t="s">
        <v>139</v>
      </c>
      <c r="S59" s="17" t="s">
        <v>179</v>
      </c>
      <c r="T59" s="17" t="s">
        <v>141</v>
      </c>
      <c r="U59" s="21" t="s">
        <v>136</v>
      </c>
      <c r="V59" s="17" t="s">
        <v>142</v>
      </c>
    </row>
    <row r="61" spans="1:22" x14ac:dyDescent="0.25">
      <c r="A61" s="53" t="s">
        <v>372</v>
      </c>
      <c r="B61" s="53"/>
      <c r="C61" s="53"/>
      <c r="D61" s="53"/>
      <c r="E61" s="53"/>
      <c r="F61" s="53"/>
      <c r="G61" s="53"/>
      <c r="H61" s="53"/>
      <c r="I61" s="53"/>
      <c r="J61" s="53"/>
      <c r="K61" s="53"/>
      <c r="L61" s="53"/>
      <c r="M61" s="53"/>
      <c r="N61" s="53"/>
      <c r="O61" s="53"/>
      <c r="P61" s="53"/>
      <c r="Q61" s="53"/>
      <c r="R61" s="53"/>
      <c r="S61" s="53"/>
      <c r="T61" s="53"/>
      <c r="U61" s="53"/>
      <c r="V61" s="53"/>
    </row>
  </sheetData>
  <autoFilter ref="A4:V59" xr:uid="{00000000-0009-0000-0000-000007000000}"/>
  <mergeCells count="3">
    <mergeCell ref="A1:V1"/>
    <mergeCell ref="A2:V2"/>
    <mergeCell ref="A61:V6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1"/>
  <sheetViews>
    <sheetView showGridLines="0" zoomScaleNormal="100" workbookViewId="0">
      <pane xSplit="7" ySplit="4" topLeftCell="H5" activePane="bottomRight" state="frozen"/>
      <selection pane="topRight" activeCell="H1" sqref="H1"/>
      <selection pane="bottomLeft" activeCell="A5" sqref="A5"/>
      <selection pane="bottomRight" sqref="A1:L1"/>
    </sheetView>
  </sheetViews>
  <sheetFormatPr baseColWidth="10" defaultColWidth="8.7109375" defaultRowHeight="15" x14ac:dyDescent="0.25"/>
  <cols>
    <col min="1" max="1" width="9" customWidth="1"/>
    <col min="2" max="2" width="15" customWidth="1"/>
    <col min="3" max="3" width="40" customWidth="1"/>
    <col min="4" max="4" width="12" customWidth="1"/>
    <col min="5" max="5" width="16" customWidth="1"/>
    <col min="6" max="6" width="10" customWidth="1"/>
    <col min="7" max="7" width="46" customWidth="1"/>
    <col min="8" max="8" width="42" customWidth="1"/>
    <col min="9" max="9" width="34" customWidth="1"/>
    <col min="10" max="10" width="16" customWidth="1"/>
    <col min="11" max="11" width="76" customWidth="1"/>
    <col min="12" max="12" width="74" customWidth="1"/>
  </cols>
  <sheetData>
    <row r="1" spans="1:12" ht="33.75" customHeight="1" x14ac:dyDescent="0.25">
      <c r="A1" s="51" t="s">
        <v>670</v>
      </c>
      <c r="B1" s="51"/>
      <c r="C1" s="51"/>
      <c r="D1" s="51"/>
      <c r="E1" s="51"/>
      <c r="F1" s="51"/>
      <c r="G1" s="51"/>
      <c r="H1" s="51"/>
      <c r="I1" s="51"/>
      <c r="J1" s="51"/>
      <c r="K1" s="51"/>
      <c r="L1" s="51"/>
    </row>
    <row r="2" spans="1:12" ht="18" customHeight="1" x14ac:dyDescent="0.25">
      <c r="A2" s="52" t="s">
        <v>671</v>
      </c>
      <c r="B2" s="52"/>
      <c r="C2" s="52"/>
      <c r="D2" s="52"/>
      <c r="E2" s="52"/>
      <c r="F2" s="52"/>
      <c r="G2" s="52"/>
      <c r="H2" s="52"/>
      <c r="I2" s="52"/>
      <c r="J2" s="52"/>
      <c r="K2" s="52"/>
      <c r="L2" s="52"/>
    </row>
    <row r="4" spans="1:12" ht="33.75" customHeight="1" x14ac:dyDescent="0.25">
      <c r="A4" s="2" t="s">
        <v>672</v>
      </c>
      <c r="B4" s="2" t="s">
        <v>673</v>
      </c>
      <c r="C4" s="2" t="s">
        <v>674</v>
      </c>
      <c r="D4" s="2" t="s">
        <v>675</v>
      </c>
      <c r="E4" s="2" t="s">
        <v>112</v>
      </c>
      <c r="F4" s="2" t="s">
        <v>113</v>
      </c>
      <c r="G4" s="2" t="s">
        <v>48</v>
      </c>
      <c r="H4" s="2" t="s">
        <v>123</v>
      </c>
      <c r="I4" s="16" t="s">
        <v>119</v>
      </c>
      <c r="J4" s="16" t="s">
        <v>19</v>
      </c>
      <c r="K4" s="2" t="s">
        <v>676</v>
      </c>
      <c r="L4" s="2" t="s">
        <v>677</v>
      </c>
    </row>
    <row r="5" spans="1:12" ht="51" x14ac:dyDescent="0.25">
      <c r="A5" s="32">
        <v>1</v>
      </c>
      <c r="B5" s="33" t="s">
        <v>678</v>
      </c>
      <c r="C5" s="33" t="s">
        <v>8</v>
      </c>
      <c r="D5" s="34">
        <v>1</v>
      </c>
      <c r="E5" s="34" t="s">
        <v>51</v>
      </c>
      <c r="F5" s="34" t="s">
        <v>679</v>
      </c>
      <c r="G5" s="33" t="s">
        <v>52</v>
      </c>
      <c r="H5" s="33" t="s">
        <v>53</v>
      </c>
      <c r="I5" s="33" t="s">
        <v>452</v>
      </c>
      <c r="J5" s="35" t="s">
        <v>20</v>
      </c>
      <c r="K5" s="33" t="s">
        <v>453</v>
      </c>
      <c r="L5" s="33" t="s">
        <v>680</v>
      </c>
    </row>
    <row r="6" spans="1:12" ht="51" x14ac:dyDescent="0.25">
      <c r="A6" s="36">
        <v>2</v>
      </c>
      <c r="B6" s="1" t="s">
        <v>678</v>
      </c>
      <c r="C6" s="1" t="s">
        <v>55</v>
      </c>
      <c r="D6" s="37">
        <v>3</v>
      </c>
      <c r="E6" s="37" t="s">
        <v>56</v>
      </c>
      <c r="F6" s="37" t="s">
        <v>679</v>
      </c>
      <c r="G6" s="1" t="s">
        <v>57</v>
      </c>
      <c r="H6" s="1" t="s">
        <v>28</v>
      </c>
      <c r="I6" s="1" t="s">
        <v>312</v>
      </c>
      <c r="J6" s="38" t="s">
        <v>21</v>
      </c>
      <c r="K6" s="1" t="s">
        <v>314</v>
      </c>
      <c r="L6" s="1" t="s">
        <v>681</v>
      </c>
    </row>
    <row r="7" spans="1:12" ht="51" x14ac:dyDescent="0.25">
      <c r="A7" s="32">
        <v>3</v>
      </c>
      <c r="B7" s="33" t="s">
        <v>678</v>
      </c>
      <c r="C7" s="33" t="s">
        <v>7</v>
      </c>
      <c r="D7" s="34">
        <v>1</v>
      </c>
      <c r="E7" s="34" t="s">
        <v>58</v>
      </c>
      <c r="F7" s="34" t="s">
        <v>682</v>
      </c>
      <c r="G7" s="33" t="s">
        <v>59</v>
      </c>
      <c r="H7" s="33" t="s">
        <v>60</v>
      </c>
      <c r="I7" s="33" t="s">
        <v>231</v>
      </c>
      <c r="J7" s="35" t="s">
        <v>20</v>
      </c>
      <c r="K7" s="33" t="s">
        <v>233</v>
      </c>
      <c r="L7" s="33" t="s">
        <v>683</v>
      </c>
    </row>
    <row r="8" spans="1:12" ht="38.25" x14ac:dyDescent="0.25">
      <c r="A8" s="36">
        <v>4</v>
      </c>
      <c r="B8" s="1" t="s">
        <v>678</v>
      </c>
      <c r="C8" s="1" t="s">
        <v>61</v>
      </c>
      <c r="D8" s="37">
        <v>2</v>
      </c>
      <c r="E8" s="37" t="s">
        <v>62</v>
      </c>
      <c r="F8" s="37" t="s">
        <v>679</v>
      </c>
      <c r="G8" s="1" t="s">
        <v>63</v>
      </c>
      <c r="H8" s="1" t="s">
        <v>64</v>
      </c>
      <c r="I8" s="1" t="s">
        <v>281</v>
      </c>
      <c r="J8" s="35" t="s">
        <v>20</v>
      </c>
      <c r="K8" s="1" t="s">
        <v>282</v>
      </c>
      <c r="L8" s="1" t="s">
        <v>684</v>
      </c>
    </row>
    <row r="9" spans="1:12" ht="38.25" x14ac:dyDescent="0.25">
      <c r="A9" s="32">
        <v>5</v>
      </c>
      <c r="B9" s="33" t="s">
        <v>678</v>
      </c>
      <c r="C9" s="33" t="s">
        <v>65</v>
      </c>
      <c r="D9" s="34">
        <v>2</v>
      </c>
      <c r="E9" s="34" t="s">
        <v>58</v>
      </c>
      <c r="F9" s="34" t="s">
        <v>685</v>
      </c>
      <c r="G9" s="33" t="s">
        <v>66</v>
      </c>
      <c r="H9" s="33" t="s">
        <v>67</v>
      </c>
      <c r="I9" s="33" t="s">
        <v>239</v>
      </c>
      <c r="J9" s="35" t="s">
        <v>20</v>
      </c>
      <c r="K9" s="33" t="s">
        <v>240</v>
      </c>
      <c r="L9" s="33" t="s">
        <v>686</v>
      </c>
    </row>
    <row r="10" spans="1:12" ht="38.25" x14ac:dyDescent="0.25">
      <c r="A10" s="36">
        <v>6</v>
      </c>
      <c r="B10" s="1" t="s">
        <v>678</v>
      </c>
      <c r="C10" s="1" t="s">
        <v>8</v>
      </c>
      <c r="D10" s="37">
        <v>1</v>
      </c>
      <c r="E10" s="37" t="s">
        <v>68</v>
      </c>
      <c r="F10" s="37" t="s">
        <v>679</v>
      </c>
      <c r="G10" s="1" t="s">
        <v>69</v>
      </c>
      <c r="H10" s="1" t="s">
        <v>70</v>
      </c>
      <c r="I10" s="1" t="s">
        <v>482</v>
      </c>
      <c r="J10" s="35" t="s">
        <v>20</v>
      </c>
      <c r="K10" s="1" t="s">
        <v>483</v>
      </c>
      <c r="L10" s="1" t="s">
        <v>687</v>
      </c>
    </row>
    <row r="11" spans="1:12" ht="51" x14ac:dyDescent="0.25">
      <c r="A11" s="32">
        <v>7</v>
      </c>
      <c r="B11" s="33" t="s">
        <v>678</v>
      </c>
      <c r="C11" s="33" t="s">
        <v>7</v>
      </c>
      <c r="D11" s="34">
        <v>1</v>
      </c>
      <c r="E11" s="34" t="s">
        <v>71</v>
      </c>
      <c r="F11" s="34" t="s">
        <v>679</v>
      </c>
      <c r="G11" s="33" t="s">
        <v>72</v>
      </c>
      <c r="H11" s="33" t="s">
        <v>73</v>
      </c>
      <c r="I11" s="33" t="s">
        <v>290</v>
      </c>
      <c r="J11" s="35" t="s">
        <v>20</v>
      </c>
      <c r="K11" s="33" t="s">
        <v>292</v>
      </c>
      <c r="L11" s="33" t="s">
        <v>688</v>
      </c>
    </row>
    <row r="12" spans="1:12" ht="38.25" x14ac:dyDescent="0.25">
      <c r="A12" s="36">
        <v>8</v>
      </c>
      <c r="B12" s="1" t="s">
        <v>678</v>
      </c>
      <c r="C12" s="1" t="s">
        <v>11</v>
      </c>
      <c r="D12" s="37">
        <v>1</v>
      </c>
      <c r="E12" s="37" t="s">
        <v>51</v>
      </c>
      <c r="F12" s="37" t="s">
        <v>679</v>
      </c>
      <c r="G12" s="1" t="s">
        <v>74</v>
      </c>
      <c r="H12" s="1" t="s">
        <v>70</v>
      </c>
      <c r="I12" s="1" t="s">
        <v>482</v>
      </c>
      <c r="J12" s="35" t="s">
        <v>20</v>
      </c>
      <c r="K12" s="1" t="s">
        <v>483</v>
      </c>
      <c r="L12" s="1" t="s">
        <v>689</v>
      </c>
    </row>
    <row r="13" spans="1:12" ht="51" x14ac:dyDescent="0.25">
      <c r="A13" s="32">
        <v>9</v>
      </c>
      <c r="B13" s="33" t="s">
        <v>678</v>
      </c>
      <c r="C13" s="33" t="s">
        <v>12</v>
      </c>
      <c r="D13" s="34">
        <v>1</v>
      </c>
      <c r="E13" s="34" t="s">
        <v>51</v>
      </c>
      <c r="F13" s="34" t="s">
        <v>682</v>
      </c>
      <c r="G13" s="33" t="s">
        <v>75</v>
      </c>
      <c r="H13" s="33" t="s">
        <v>73</v>
      </c>
      <c r="I13" s="33" t="s">
        <v>290</v>
      </c>
      <c r="J13" s="35" t="s">
        <v>20</v>
      </c>
      <c r="K13" s="33" t="s">
        <v>292</v>
      </c>
      <c r="L13" s="33" t="s">
        <v>690</v>
      </c>
    </row>
    <row r="14" spans="1:12" ht="38.25" x14ac:dyDescent="0.25">
      <c r="A14" s="36">
        <v>10</v>
      </c>
      <c r="B14" s="1" t="s">
        <v>678</v>
      </c>
      <c r="C14" s="1" t="s">
        <v>8</v>
      </c>
      <c r="D14" s="37">
        <v>1</v>
      </c>
      <c r="E14" s="37" t="s">
        <v>51</v>
      </c>
      <c r="F14" s="37" t="s">
        <v>682</v>
      </c>
      <c r="G14" s="1" t="s">
        <v>76</v>
      </c>
      <c r="H14" s="1" t="s">
        <v>77</v>
      </c>
      <c r="I14" s="1" t="s">
        <v>320</v>
      </c>
      <c r="J14" s="38" t="s">
        <v>21</v>
      </c>
      <c r="K14" s="1" t="s">
        <v>444</v>
      </c>
      <c r="L14" s="1" t="s">
        <v>691</v>
      </c>
    </row>
    <row r="15" spans="1:12" ht="51" x14ac:dyDescent="0.25">
      <c r="A15" s="32">
        <v>11</v>
      </c>
      <c r="B15" s="33" t="s">
        <v>678</v>
      </c>
      <c r="C15" s="33" t="s">
        <v>7</v>
      </c>
      <c r="D15" s="34">
        <v>1</v>
      </c>
      <c r="E15" s="34" t="s">
        <v>62</v>
      </c>
      <c r="F15" s="34" t="s">
        <v>682</v>
      </c>
      <c r="G15" s="33" t="s">
        <v>78</v>
      </c>
      <c r="H15" s="33" t="s">
        <v>79</v>
      </c>
      <c r="I15" s="33" t="s">
        <v>275</v>
      </c>
      <c r="J15" s="35" t="s">
        <v>20</v>
      </c>
      <c r="K15" s="33" t="s">
        <v>276</v>
      </c>
      <c r="L15" s="33" t="s">
        <v>692</v>
      </c>
    </row>
    <row r="16" spans="1:12" ht="51" x14ac:dyDescent="0.25">
      <c r="A16" s="36">
        <v>12</v>
      </c>
      <c r="B16" s="1" t="s">
        <v>678</v>
      </c>
      <c r="C16" s="1" t="s">
        <v>10</v>
      </c>
      <c r="D16" s="37">
        <v>1</v>
      </c>
      <c r="E16" s="37" t="s">
        <v>58</v>
      </c>
      <c r="F16" s="37" t="s">
        <v>682</v>
      </c>
      <c r="G16" s="1" t="s">
        <v>80</v>
      </c>
      <c r="H16" s="1" t="s">
        <v>79</v>
      </c>
      <c r="I16" s="1" t="s">
        <v>275</v>
      </c>
      <c r="J16" s="35" t="s">
        <v>20</v>
      </c>
      <c r="K16" s="1" t="s">
        <v>276</v>
      </c>
      <c r="L16" s="1" t="s">
        <v>693</v>
      </c>
    </row>
    <row r="17" spans="1:12" ht="51" x14ac:dyDescent="0.25">
      <c r="A17" s="32">
        <v>13</v>
      </c>
      <c r="B17" s="33" t="s">
        <v>678</v>
      </c>
      <c r="C17" s="33" t="s">
        <v>12</v>
      </c>
      <c r="D17" s="34">
        <v>1</v>
      </c>
      <c r="E17" s="34" t="s">
        <v>71</v>
      </c>
      <c r="F17" s="34" t="s">
        <v>682</v>
      </c>
      <c r="G17" s="33" t="s">
        <v>81</v>
      </c>
      <c r="H17" s="33" t="s">
        <v>73</v>
      </c>
      <c r="I17" s="33" t="s">
        <v>290</v>
      </c>
      <c r="J17" s="35" t="s">
        <v>20</v>
      </c>
      <c r="K17" s="33" t="s">
        <v>292</v>
      </c>
      <c r="L17" s="33" t="s">
        <v>693</v>
      </c>
    </row>
    <row r="18" spans="1:12" ht="38.25" x14ac:dyDescent="0.25">
      <c r="A18" s="36">
        <v>14</v>
      </c>
      <c r="B18" s="1" t="s">
        <v>678</v>
      </c>
      <c r="C18" s="1" t="s">
        <v>8</v>
      </c>
      <c r="D18" s="37">
        <v>1</v>
      </c>
      <c r="E18" s="37" t="s">
        <v>82</v>
      </c>
      <c r="F18" s="37" t="s">
        <v>694</v>
      </c>
      <c r="G18" s="1" t="s">
        <v>83</v>
      </c>
      <c r="H18" s="1" t="s">
        <v>77</v>
      </c>
      <c r="I18" s="1" t="s">
        <v>320</v>
      </c>
      <c r="J18" s="38" t="s">
        <v>21</v>
      </c>
      <c r="K18" s="1" t="s">
        <v>444</v>
      </c>
      <c r="L18" s="1" t="s">
        <v>693</v>
      </c>
    </row>
    <row r="19" spans="1:12" ht="51" x14ac:dyDescent="0.25">
      <c r="A19" s="32">
        <v>15</v>
      </c>
      <c r="B19" s="33" t="s">
        <v>678</v>
      </c>
      <c r="C19" s="33" t="s">
        <v>9</v>
      </c>
      <c r="D19" s="34">
        <v>1</v>
      </c>
      <c r="E19" s="34" t="s">
        <v>51</v>
      </c>
      <c r="F19" s="34" t="s">
        <v>694</v>
      </c>
      <c r="G19" s="33" t="s">
        <v>84</v>
      </c>
      <c r="H19" s="33" t="s">
        <v>28</v>
      </c>
      <c r="I19" s="33" t="s">
        <v>312</v>
      </c>
      <c r="J19" s="38" t="s">
        <v>21</v>
      </c>
      <c r="K19" s="33" t="s">
        <v>314</v>
      </c>
      <c r="L19" s="33" t="s">
        <v>693</v>
      </c>
    </row>
    <row r="20" spans="1:12" ht="38.25" x14ac:dyDescent="0.25">
      <c r="A20" s="37">
        <v>16</v>
      </c>
      <c r="B20" s="1" t="s">
        <v>695</v>
      </c>
      <c r="C20" s="1" t="s">
        <v>8</v>
      </c>
      <c r="D20" s="37">
        <v>1</v>
      </c>
      <c r="E20" s="37" t="s">
        <v>696</v>
      </c>
      <c r="F20" s="37" t="s">
        <v>679</v>
      </c>
      <c r="G20" s="1" t="s">
        <v>416</v>
      </c>
      <c r="H20" s="1" t="s">
        <v>27</v>
      </c>
      <c r="I20" s="1" t="s">
        <v>320</v>
      </c>
      <c r="J20" s="38" t="s">
        <v>21</v>
      </c>
      <c r="K20" s="1" t="s">
        <v>398</v>
      </c>
      <c r="L20" s="1" t="s">
        <v>697</v>
      </c>
    </row>
    <row r="21" spans="1:12" ht="38.25" x14ac:dyDescent="0.25">
      <c r="A21" s="34">
        <v>17</v>
      </c>
      <c r="B21" s="33" t="s">
        <v>695</v>
      </c>
      <c r="C21" s="33" t="s">
        <v>8</v>
      </c>
      <c r="D21" s="34">
        <v>1</v>
      </c>
      <c r="E21" s="34" t="s">
        <v>51</v>
      </c>
      <c r="F21" s="34" t="s">
        <v>679</v>
      </c>
      <c r="G21" s="33" t="s">
        <v>447</v>
      </c>
      <c r="H21" s="33" t="s">
        <v>27</v>
      </c>
      <c r="I21" s="33" t="s">
        <v>320</v>
      </c>
      <c r="J21" s="38" t="s">
        <v>21</v>
      </c>
      <c r="K21" s="33" t="s">
        <v>398</v>
      </c>
      <c r="L21" s="33" t="s">
        <v>698</v>
      </c>
    </row>
    <row r="22" spans="1:12" ht="38.25" x14ac:dyDescent="0.25">
      <c r="A22" s="37">
        <v>18</v>
      </c>
      <c r="B22" s="1" t="s">
        <v>695</v>
      </c>
      <c r="C22" s="1" t="s">
        <v>8</v>
      </c>
      <c r="D22" s="37">
        <v>1</v>
      </c>
      <c r="E22" s="37" t="s">
        <v>71</v>
      </c>
      <c r="F22" s="37" t="s">
        <v>679</v>
      </c>
      <c r="G22" s="1" t="s">
        <v>438</v>
      </c>
      <c r="H22" s="1" t="s">
        <v>27</v>
      </c>
      <c r="I22" s="1" t="s">
        <v>320</v>
      </c>
      <c r="J22" s="38" t="s">
        <v>21</v>
      </c>
      <c r="K22" s="1" t="s">
        <v>398</v>
      </c>
      <c r="L22" s="1" t="s">
        <v>693</v>
      </c>
    </row>
    <row r="23" spans="1:12" ht="38.25" x14ac:dyDescent="0.25">
      <c r="A23" s="34">
        <v>19</v>
      </c>
      <c r="B23" s="33" t="s">
        <v>695</v>
      </c>
      <c r="C23" s="33" t="s">
        <v>12</v>
      </c>
      <c r="D23" s="34">
        <v>1</v>
      </c>
      <c r="E23" s="34" t="s">
        <v>82</v>
      </c>
      <c r="F23" s="34" t="s">
        <v>679</v>
      </c>
      <c r="G23" s="33" t="s">
        <v>648</v>
      </c>
      <c r="H23" s="33" t="s">
        <v>28</v>
      </c>
      <c r="I23" s="33" t="s">
        <v>312</v>
      </c>
      <c r="J23" s="38" t="s">
        <v>21</v>
      </c>
      <c r="K23" s="33" t="s">
        <v>362</v>
      </c>
      <c r="L23" s="33" t="s">
        <v>693</v>
      </c>
    </row>
    <row r="24" spans="1:12" ht="38.25" x14ac:dyDescent="0.25">
      <c r="A24" s="37">
        <v>20</v>
      </c>
      <c r="B24" s="1" t="s">
        <v>695</v>
      </c>
      <c r="C24" s="1" t="s">
        <v>8</v>
      </c>
      <c r="D24" s="37">
        <v>1</v>
      </c>
      <c r="E24" s="37" t="s">
        <v>71</v>
      </c>
      <c r="F24" s="37" t="s">
        <v>679</v>
      </c>
      <c r="G24" s="1" t="s">
        <v>439</v>
      </c>
      <c r="H24" s="1" t="s">
        <v>77</v>
      </c>
      <c r="I24" s="1" t="s">
        <v>320</v>
      </c>
      <c r="J24" s="38" t="s">
        <v>21</v>
      </c>
      <c r="K24" s="1" t="s">
        <v>444</v>
      </c>
      <c r="L24" s="1" t="s">
        <v>693</v>
      </c>
    </row>
    <row r="25" spans="1:12" ht="38.25" x14ac:dyDescent="0.25">
      <c r="A25" s="34">
        <v>21</v>
      </c>
      <c r="B25" s="33" t="s">
        <v>695</v>
      </c>
      <c r="C25" s="33" t="s">
        <v>10</v>
      </c>
      <c r="D25" s="34">
        <v>1</v>
      </c>
      <c r="E25" s="34" t="s">
        <v>51</v>
      </c>
      <c r="F25" s="34" t="s">
        <v>679</v>
      </c>
      <c r="G25" s="33" t="s">
        <v>587</v>
      </c>
      <c r="H25" s="33" t="s">
        <v>28</v>
      </c>
      <c r="I25" s="33" t="s">
        <v>312</v>
      </c>
      <c r="J25" s="38" t="s">
        <v>21</v>
      </c>
      <c r="K25" s="33" t="s">
        <v>362</v>
      </c>
      <c r="L25" s="33" t="s">
        <v>693</v>
      </c>
    </row>
    <row r="26" spans="1:12" ht="38.25" x14ac:dyDescent="0.25">
      <c r="A26" s="37">
        <v>22</v>
      </c>
      <c r="B26" s="1" t="s">
        <v>695</v>
      </c>
      <c r="C26" s="1" t="s">
        <v>13</v>
      </c>
      <c r="D26" s="37">
        <v>1</v>
      </c>
      <c r="E26" s="37" t="s">
        <v>71</v>
      </c>
      <c r="F26" s="37" t="s">
        <v>679</v>
      </c>
      <c r="G26" s="1" t="s">
        <v>666</v>
      </c>
      <c r="H26" s="1" t="s">
        <v>28</v>
      </c>
      <c r="I26" s="1" t="s">
        <v>312</v>
      </c>
      <c r="J26" s="38" t="s">
        <v>21</v>
      </c>
      <c r="K26" s="1" t="s">
        <v>362</v>
      </c>
      <c r="L26" s="1" t="s">
        <v>693</v>
      </c>
    </row>
    <row r="27" spans="1:12" ht="38.25" x14ac:dyDescent="0.25">
      <c r="A27" s="34">
        <v>23</v>
      </c>
      <c r="B27" s="33" t="s">
        <v>695</v>
      </c>
      <c r="C27" s="33" t="s">
        <v>7</v>
      </c>
      <c r="D27" s="34">
        <v>1</v>
      </c>
      <c r="E27" s="34" t="s">
        <v>82</v>
      </c>
      <c r="F27" s="34" t="s">
        <v>679</v>
      </c>
      <c r="G27" s="33" t="s">
        <v>369</v>
      </c>
      <c r="H27" s="33" t="s">
        <v>28</v>
      </c>
      <c r="I27" s="33" t="s">
        <v>312</v>
      </c>
      <c r="J27" s="38" t="s">
        <v>21</v>
      </c>
      <c r="K27" s="33" t="s">
        <v>362</v>
      </c>
      <c r="L27" s="33" t="s">
        <v>693</v>
      </c>
    </row>
    <row r="28" spans="1:12" ht="51" x14ac:dyDescent="0.25">
      <c r="A28" s="37">
        <v>24</v>
      </c>
      <c r="B28" s="1" t="s">
        <v>695</v>
      </c>
      <c r="C28" s="1" t="s">
        <v>9</v>
      </c>
      <c r="D28" s="37">
        <v>1</v>
      </c>
      <c r="E28" s="37" t="s">
        <v>71</v>
      </c>
      <c r="F28" s="37" t="s">
        <v>679</v>
      </c>
      <c r="G28" s="1" t="s">
        <v>525</v>
      </c>
      <c r="H28" s="1" t="s">
        <v>28</v>
      </c>
      <c r="I28" s="1" t="s">
        <v>312</v>
      </c>
      <c r="J28" s="38" t="s">
        <v>21</v>
      </c>
      <c r="K28" s="1" t="s">
        <v>314</v>
      </c>
      <c r="L28" s="1" t="s">
        <v>699</v>
      </c>
    </row>
    <row r="29" spans="1:12" ht="38.25" x14ac:dyDescent="0.25">
      <c r="A29" s="34">
        <v>25</v>
      </c>
      <c r="B29" s="33" t="s">
        <v>695</v>
      </c>
      <c r="C29" s="33" t="s">
        <v>8</v>
      </c>
      <c r="D29" s="34">
        <v>1</v>
      </c>
      <c r="E29" s="34" t="s">
        <v>62</v>
      </c>
      <c r="F29" s="34" t="s">
        <v>679</v>
      </c>
      <c r="G29" s="33" t="s">
        <v>426</v>
      </c>
      <c r="H29" s="33" t="s">
        <v>27</v>
      </c>
      <c r="I29" s="33" t="s">
        <v>320</v>
      </c>
      <c r="J29" s="38" t="s">
        <v>21</v>
      </c>
      <c r="K29" s="33" t="s">
        <v>398</v>
      </c>
      <c r="L29" s="33" t="s">
        <v>693</v>
      </c>
    </row>
    <row r="31" spans="1:12" x14ac:dyDescent="0.25">
      <c r="A31" s="53" t="s">
        <v>700</v>
      </c>
      <c r="B31" s="53"/>
      <c r="C31" s="53"/>
      <c r="D31" s="53"/>
      <c r="E31" s="53"/>
      <c r="F31" s="53"/>
      <c r="G31" s="53"/>
      <c r="H31" s="53"/>
      <c r="I31" s="53"/>
      <c r="J31" s="53"/>
      <c r="K31" s="53"/>
      <c r="L31" s="53"/>
    </row>
  </sheetData>
  <autoFilter ref="A4:L29" xr:uid="{00000000-0009-0000-0000-000008000000}"/>
  <mergeCells count="3">
    <mergeCell ref="A1:L1"/>
    <mergeCell ref="A2:L2"/>
    <mergeCell ref="A31:L3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showGridLines="0" zoomScaleNormal="100" workbookViewId="0">
      <pane xSplit="2" ySplit="4" topLeftCell="C5" activePane="bottomRight" state="frozen"/>
      <selection pane="topRight" activeCell="C1" sqref="C1"/>
      <selection pane="bottomLeft" activeCell="A5" sqref="A5"/>
      <selection pane="bottomRight" activeCell="B13" sqref="B13"/>
    </sheetView>
  </sheetViews>
  <sheetFormatPr baseColWidth="10" defaultColWidth="8.7109375" defaultRowHeight="15" x14ac:dyDescent="0.25"/>
  <cols>
    <col min="1" max="1" width="9" customWidth="1"/>
    <col min="2" max="2" width="52" customWidth="1"/>
    <col min="3" max="3" width="32" customWidth="1"/>
    <col min="4" max="4" width="66" customWidth="1"/>
    <col min="5" max="5" width="56" customWidth="1"/>
    <col min="6" max="6" width="60" customWidth="1"/>
    <col min="7" max="7" width="52" customWidth="1"/>
    <col min="8" max="8" width="70" customWidth="1"/>
    <col min="9" max="9" width="34" customWidth="1"/>
    <col min="10" max="10" width="16" customWidth="1"/>
  </cols>
  <sheetData>
    <row r="1" spans="1:10" ht="33.75" customHeight="1" x14ac:dyDescent="0.25">
      <c r="A1" s="51" t="s">
        <v>701</v>
      </c>
      <c r="B1" s="51"/>
      <c r="C1" s="51"/>
      <c r="D1" s="51"/>
      <c r="E1" s="51"/>
      <c r="F1" s="51"/>
      <c r="G1" s="51"/>
      <c r="H1" s="51"/>
      <c r="I1" s="51"/>
      <c r="J1" s="51"/>
    </row>
    <row r="2" spans="1:10" ht="18" customHeight="1" x14ac:dyDescent="0.25">
      <c r="A2" s="52" t="s">
        <v>702</v>
      </c>
      <c r="B2" s="52"/>
      <c r="C2" s="52"/>
      <c r="D2" s="52"/>
      <c r="E2" s="52"/>
      <c r="F2" s="52"/>
      <c r="G2" s="52"/>
      <c r="H2" s="52"/>
      <c r="I2" s="52"/>
      <c r="J2" s="52"/>
    </row>
    <row r="4" spans="1:10" ht="43.5" customHeight="1" x14ac:dyDescent="0.25">
      <c r="A4" s="2" t="s">
        <v>703</v>
      </c>
      <c r="B4" s="2" t="s">
        <v>704</v>
      </c>
      <c r="C4" s="2" t="s">
        <v>705</v>
      </c>
      <c r="D4" s="2" t="s">
        <v>706</v>
      </c>
      <c r="E4" s="2" t="s">
        <v>707</v>
      </c>
      <c r="F4" s="2" t="s">
        <v>708</v>
      </c>
      <c r="G4" s="2" t="s">
        <v>709</v>
      </c>
      <c r="H4" s="2" t="s">
        <v>710</v>
      </c>
      <c r="I4" s="2" t="s">
        <v>711</v>
      </c>
      <c r="J4" s="2" t="s">
        <v>50</v>
      </c>
    </row>
    <row r="5" spans="1:10" ht="117.75" customHeight="1" x14ac:dyDescent="0.25">
      <c r="A5" s="32" t="s">
        <v>712</v>
      </c>
      <c r="B5" s="50" t="s">
        <v>713</v>
      </c>
      <c r="C5" s="33" t="s">
        <v>714</v>
      </c>
      <c r="D5" s="33" t="s">
        <v>715</v>
      </c>
      <c r="E5" s="33" t="s">
        <v>716</v>
      </c>
      <c r="F5" s="33" t="s">
        <v>717</v>
      </c>
      <c r="G5" s="33" t="s">
        <v>718</v>
      </c>
      <c r="H5" s="33" t="s">
        <v>719</v>
      </c>
      <c r="I5" s="33" t="s">
        <v>720</v>
      </c>
      <c r="J5" s="34" t="s">
        <v>721</v>
      </c>
    </row>
    <row r="6" spans="1:10" ht="117.75" customHeight="1" x14ac:dyDescent="0.25">
      <c r="A6" s="36" t="s">
        <v>722</v>
      </c>
      <c r="B6" s="1" t="s">
        <v>723</v>
      </c>
      <c r="C6" s="1" t="s">
        <v>724</v>
      </c>
      <c r="D6" s="1" t="s">
        <v>725</v>
      </c>
      <c r="E6" s="1" t="s">
        <v>726</v>
      </c>
      <c r="F6" s="1" t="s">
        <v>727</v>
      </c>
      <c r="G6" s="1" t="s">
        <v>728</v>
      </c>
      <c r="H6" s="1" t="s">
        <v>729</v>
      </c>
      <c r="I6" s="1" t="s">
        <v>730</v>
      </c>
      <c r="J6" s="37" t="s">
        <v>721</v>
      </c>
    </row>
    <row r="7" spans="1:10" ht="117.75" customHeight="1" x14ac:dyDescent="0.25">
      <c r="A7" s="32" t="s">
        <v>731</v>
      </c>
      <c r="B7" s="33" t="s">
        <v>732</v>
      </c>
      <c r="C7" s="33" t="s">
        <v>733</v>
      </c>
      <c r="D7" s="33" t="s">
        <v>734</v>
      </c>
      <c r="E7" s="33" t="s">
        <v>735</v>
      </c>
      <c r="F7" s="33" t="s">
        <v>736</v>
      </c>
      <c r="G7" s="33" t="s">
        <v>737</v>
      </c>
      <c r="H7" s="33" t="s">
        <v>738</v>
      </c>
      <c r="I7" s="33" t="s">
        <v>739</v>
      </c>
      <c r="J7" s="34" t="s">
        <v>740</v>
      </c>
    </row>
    <row r="8" spans="1:10" ht="117.75" customHeight="1" x14ac:dyDescent="0.25">
      <c r="A8" s="36" t="s">
        <v>741</v>
      </c>
      <c r="B8" s="49" t="s">
        <v>742</v>
      </c>
      <c r="C8" s="1" t="s">
        <v>724</v>
      </c>
      <c r="D8" s="1" t="s">
        <v>743</v>
      </c>
      <c r="E8" s="1" t="s">
        <v>744</v>
      </c>
      <c r="F8" s="1" t="s">
        <v>745</v>
      </c>
      <c r="G8" s="1" t="s">
        <v>746</v>
      </c>
      <c r="H8" s="1" t="s">
        <v>747</v>
      </c>
      <c r="I8" s="1" t="s">
        <v>748</v>
      </c>
      <c r="J8" s="37" t="s">
        <v>740</v>
      </c>
    </row>
    <row r="9" spans="1:10" ht="117.75" customHeight="1" x14ac:dyDescent="0.25">
      <c r="A9" s="32" t="s">
        <v>749</v>
      </c>
      <c r="B9" s="33" t="s">
        <v>750</v>
      </c>
      <c r="C9" s="33" t="s">
        <v>751</v>
      </c>
      <c r="D9" s="33" t="s">
        <v>752</v>
      </c>
      <c r="E9" s="33" t="s">
        <v>753</v>
      </c>
      <c r="F9" s="33" t="s">
        <v>754</v>
      </c>
      <c r="G9" s="33" t="s">
        <v>755</v>
      </c>
      <c r="H9" s="33" t="s">
        <v>756</v>
      </c>
      <c r="I9" s="33" t="s">
        <v>757</v>
      </c>
      <c r="J9" s="34" t="s">
        <v>740</v>
      </c>
    </row>
    <row r="10" spans="1:10" ht="117.75" customHeight="1" x14ac:dyDescent="0.25">
      <c r="A10" s="36" t="s">
        <v>758</v>
      </c>
      <c r="B10" s="1" t="s">
        <v>759</v>
      </c>
      <c r="C10" s="1" t="s">
        <v>760</v>
      </c>
      <c r="D10" s="1" t="s">
        <v>761</v>
      </c>
      <c r="E10" s="1" t="s">
        <v>762</v>
      </c>
      <c r="F10" s="1" t="s">
        <v>763</v>
      </c>
      <c r="G10" s="1" t="s">
        <v>764</v>
      </c>
      <c r="H10" s="1" t="s">
        <v>765</v>
      </c>
      <c r="I10" s="1" t="s">
        <v>766</v>
      </c>
      <c r="J10" s="37" t="s">
        <v>767</v>
      </c>
    </row>
    <row r="11" spans="1:10" ht="117.75" customHeight="1" x14ac:dyDescent="0.25">
      <c r="A11" s="32" t="s">
        <v>768</v>
      </c>
      <c r="B11" s="33" t="s">
        <v>769</v>
      </c>
      <c r="C11" s="33" t="s">
        <v>770</v>
      </c>
      <c r="D11" s="33" t="s">
        <v>771</v>
      </c>
      <c r="E11" s="33" t="s">
        <v>772</v>
      </c>
      <c r="F11" s="33" t="s">
        <v>773</v>
      </c>
      <c r="G11" s="33" t="s">
        <v>774</v>
      </c>
      <c r="H11" s="33" t="s">
        <v>775</v>
      </c>
      <c r="I11" s="33" t="s">
        <v>776</v>
      </c>
      <c r="J11" s="34" t="s">
        <v>767</v>
      </c>
    </row>
    <row r="12" spans="1:10" ht="117.75" customHeight="1" x14ac:dyDescent="0.25">
      <c r="A12" s="36" t="s">
        <v>777</v>
      </c>
      <c r="B12" s="1" t="s">
        <v>778</v>
      </c>
      <c r="C12" s="1" t="s">
        <v>779</v>
      </c>
      <c r="D12" s="1" t="s">
        <v>780</v>
      </c>
      <c r="E12" s="1" t="s">
        <v>781</v>
      </c>
      <c r="F12" s="1" t="s">
        <v>782</v>
      </c>
      <c r="G12" s="1" t="s">
        <v>783</v>
      </c>
      <c r="H12" s="1" t="s">
        <v>784</v>
      </c>
      <c r="I12" s="1" t="s">
        <v>785</v>
      </c>
      <c r="J12" s="37" t="s">
        <v>767</v>
      </c>
    </row>
    <row r="13" spans="1:10" ht="117.75" customHeight="1" x14ac:dyDescent="0.25">
      <c r="A13" s="32" t="s">
        <v>786</v>
      </c>
      <c r="B13" s="33" t="s">
        <v>787</v>
      </c>
      <c r="C13" s="33" t="s">
        <v>788</v>
      </c>
      <c r="D13" s="33" t="s">
        <v>789</v>
      </c>
      <c r="E13" s="33" t="s">
        <v>790</v>
      </c>
      <c r="F13" s="33" t="s">
        <v>791</v>
      </c>
      <c r="G13" s="33" t="s">
        <v>792</v>
      </c>
      <c r="H13" s="33" t="s">
        <v>793</v>
      </c>
      <c r="I13" s="33" t="s">
        <v>794</v>
      </c>
      <c r="J13" s="34" t="s">
        <v>767</v>
      </c>
    </row>
    <row r="14" spans="1:10" ht="117.75" customHeight="1" x14ac:dyDescent="0.25">
      <c r="A14" s="36" t="s">
        <v>795</v>
      </c>
      <c r="B14" s="48" t="s">
        <v>796</v>
      </c>
      <c r="C14" s="1" t="s">
        <v>788</v>
      </c>
      <c r="D14" s="1" t="s">
        <v>797</v>
      </c>
      <c r="E14" s="1" t="s">
        <v>798</v>
      </c>
      <c r="F14" s="1" t="s">
        <v>799</v>
      </c>
      <c r="G14" s="1" t="s">
        <v>800</v>
      </c>
      <c r="H14" s="1" t="s">
        <v>801</v>
      </c>
      <c r="I14" s="1" t="s">
        <v>802</v>
      </c>
      <c r="J14" s="37" t="s">
        <v>803</v>
      </c>
    </row>
  </sheetData>
  <autoFilter ref="A4:J14" xr:uid="{00000000-0009-0000-0000-000009000000}"/>
  <mergeCells count="2">
    <mergeCell ref="A1:J1"/>
    <mergeCell ref="A2:J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1"/>
  <sheetViews>
    <sheetView showGridLines="0" zoomScaleNormal="100" workbookViewId="0">
      <selection sqref="A1:F1"/>
    </sheetView>
  </sheetViews>
  <sheetFormatPr baseColWidth="10" defaultColWidth="8.7109375" defaultRowHeight="15" x14ac:dyDescent="0.25"/>
  <cols>
    <col min="1" max="1" width="24" customWidth="1"/>
    <col min="2" max="2" width="46" customWidth="1"/>
    <col min="3" max="3" width="12" customWidth="1"/>
    <col min="4" max="4" width="40" customWidth="1"/>
    <col min="5" max="5" width="78" customWidth="1"/>
    <col min="6" max="6" width="16" customWidth="1"/>
  </cols>
  <sheetData>
    <row r="1" spans="1:6" ht="33.75" customHeight="1" x14ac:dyDescent="0.25">
      <c r="A1" s="51" t="s">
        <v>804</v>
      </c>
      <c r="B1" s="51"/>
      <c r="C1" s="51"/>
      <c r="D1" s="51"/>
      <c r="E1" s="51"/>
      <c r="F1" s="51"/>
    </row>
    <row r="2" spans="1:6" ht="18" customHeight="1" x14ac:dyDescent="0.25">
      <c r="A2" s="52" t="s">
        <v>805</v>
      </c>
      <c r="B2" s="52"/>
      <c r="C2" s="52"/>
      <c r="D2" s="52"/>
      <c r="E2" s="52"/>
      <c r="F2" s="52"/>
    </row>
    <row r="4" spans="1:6" ht="21.75" customHeight="1" x14ac:dyDescent="0.25">
      <c r="A4" s="54" t="s">
        <v>806</v>
      </c>
      <c r="B4" s="54"/>
      <c r="C4" s="54"/>
      <c r="D4" s="54"/>
      <c r="E4" s="54"/>
      <c r="F4" s="54"/>
    </row>
    <row r="5" spans="1:6" ht="49.5" customHeight="1" x14ac:dyDescent="0.25">
      <c r="A5" s="39" t="s">
        <v>128</v>
      </c>
      <c r="B5" s="57" t="s">
        <v>807</v>
      </c>
      <c r="C5" s="57"/>
      <c r="D5" s="57"/>
      <c r="E5" s="57"/>
      <c r="F5" s="57"/>
    </row>
    <row r="6" spans="1:6" ht="37.5" customHeight="1" x14ac:dyDescent="0.25">
      <c r="A6" s="39" t="s">
        <v>375</v>
      </c>
      <c r="B6" s="57" t="s">
        <v>808</v>
      </c>
      <c r="C6" s="57"/>
      <c r="D6" s="57"/>
      <c r="E6" s="57"/>
      <c r="F6" s="57"/>
    </row>
    <row r="7" spans="1:6" ht="37.5" customHeight="1" x14ac:dyDescent="0.25">
      <c r="A7" s="39" t="s">
        <v>495</v>
      </c>
      <c r="B7" s="57" t="s">
        <v>809</v>
      </c>
      <c r="C7" s="57"/>
      <c r="D7" s="57"/>
      <c r="E7" s="57"/>
      <c r="F7" s="57"/>
    </row>
    <row r="8" spans="1:6" ht="30" customHeight="1" x14ac:dyDescent="0.25">
      <c r="A8" s="39" t="s">
        <v>541</v>
      </c>
      <c r="B8" s="57" t="s">
        <v>810</v>
      </c>
      <c r="C8" s="57"/>
      <c r="D8" s="57"/>
      <c r="E8" s="57"/>
      <c r="F8" s="57"/>
    </row>
    <row r="9" spans="1:6" ht="30" customHeight="1" x14ac:dyDescent="0.25">
      <c r="A9" s="39" t="s">
        <v>593</v>
      </c>
      <c r="B9" s="57" t="s">
        <v>811</v>
      </c>
      <c r="C9" s="57"/>
      <c r="D9" s="57"/>
      <c r="E9" s="57"/>
      <c r="F9" s="57"/>
    </row>
    <row r="10" spans="1:6" ht="30" customHeight="1" x14ac:dyDescent="0.25">
      <c r="A10" s="39" t="s">
        <v>630</v>
      </c>
      <c r="B10" s="57" t="s">
        <v>812</v>
      </c>
      <c r="C10" s="57"/>
      <c r="D10" s="57"/>
      <c r="E10" s="57"/>
      <c r="F10" s="57"/>
    </row>
    <row r="11" spans="1:6" ht="30" customHeight="1" x14ac:dyDescent="0.25">
      <c r="A11" s="39" t="s">
        <v>652</v>
      </c>
      <c r="B11" s="57" t="s">
        <v>813</v>
      </c>
      <c r="C11" s="57"/>
      <c r="D11" s="57"/>
      <c r="E11" s="57"/>
      <c r="F11" s="57"/>
    </row>
    <row r="13" spans="1:6" ht="21.75" customHeight="1" x14ac:dyDescent="0.25">
      <c r="A13" s="54" t="s">
        <v>814</v>
      </c>
      <c r="B13" s="54"/>
      <c r="C13" s="54"/>
      <c r="D13" s="54"/>
      <c r="E13" s="54"/>
      <c r="F13" s="54"/>
    </row>
    <row r="14" spans="1:6" x14ac:dyDescent="0.25">
      <c r="A14" s="2" t="s">
        <v>50</v>
      </c>
      <c r="B14" s="2" t="s">
        <v>815</v>
      </c>
      <c r="C14" s="2" t="s">
        <v>112</v>
      </c>
      <c r="D14" s="2" t="s">
        <v>25</v>
      </c>
      <c r="E14" s="2" t="s">
        <v>816</v>
      </c>
      <c r="F14" s="2" t="s">
        <v>817</v>
      </c>
    </row>
    <row r="15" spans="1:6" ht="38.25" x14ac:dyDescent="0.25">
      <c r="A15" s="40" t="s">
        <v>818</v>
      </c>
      <c r="B15" s="33" t="s">
        <v>819</v>
      </c>
      <c r="C15" s="34" t="s">
        <v>820</v>
      </c>
      <c r="D15" s="33" t="s">
        <v>821</v>
      </c>
      <c r="E15" s="33" t="s">
        <v>822</v>
      </c>
      <c r="F15" s="34" t="s">
        <v>823</v>
      </c>
    </row>
    <row r="16" spans="1:6" ht="51" x14ac:dyDescent="0.25">
      <c r="A16" s="40" t="s">
        <v>818</v>
      </c>
      <c r="B16" s="1" t="s">
        <v>824</v>
      </c>
      <c r="C16" s="37" t="s">
        <v>825</v>
      </c>
      <c r="D16" s="1" t="s">
        <v>28</v>
      </c>
      <c r="E16" s="1" t="s">
        <v>826</v>
      </c>
      <c r="F16" s="37" t="s">
        <v>823</v>
      </c>
    </row>
    <row r="17" spans="1:6" ht="38.25" x14ac:dyDescent="0.25">
      <c r="A17" s="40" t="s">
        <v>818</v>
      </c>
      <c r="B17" s="33" t="s">
        <v>827</v>
      </c>
      <c r="C17" s="34" t="s">
        <v>828</v>
      </c>
      <c r="D17" s="33" t="s">
        <v>829</v>
      </c>
      <c r="E17" s="33" t="s">
        <v>830</v>
      </c>
      <c r="F17" s="34" t="s">
        <v>823</v>
      </c>
    </row>
    <row r="18" spans="1:6" ht="38.25" x14ac:dyDescent="0.25">
      <c r="A18" s="40" t="s">
        <v>818</v>
      </c>
      <c r="B18" s="1" t="s">
        <v>831</v>
      </c>
      <c r="C18" s="37" t="s">
        <v>832</v>
      </c>
      <c r="D18" s="1" t="s">
        <v>833</v>
      </c>
      <c r="E18" s="1" t="s">
        <v>834</v>
      </c>
      <c r="F18" s="37" t="s">
        <v>823</v>
      </c>
    </row>
    <row r="19" spans="1:6" ht="51" x14ac:dyDescent="0.25">
      <c r="A19" s="40" t="s">
        <v>818</v>
      </c>
      <c r="B19" s="33" t="s">
        <v>835</v>
      </c>
      <c r="C19" s="34" t="s">
        <v>836</v>
      </c>
      <c r="D19" s="33" t="s">
        <v>837</v>
      </c>
      <c r="E19" s="33" t="s">
        <v>838</v>
      </c>
      <c r="F19" s="34" t="s">
        <v>823</v>
      </c>
    </row>
    <row r="20" spans="1:6" ht="38.25" x14ac:dyDescent="0.25">
      <c r="A20" s="41" t="s">
        <v>839</v>
      </c>
      <c r="B20" s="1" t="s">
        <v>840</v>
      </c>
      <c r="C20" s="37" t="s">
        <v>841</v>
      </c>
      <c r="D20" s="1" t="s">
        <v>842</v>
      </c>
      <c r="E20" s="1" t="s">
        <v>843</v>
      </c>
      <c r="F20" s="37" t="s">
        <v>844</v>
      </c>
    </row>
    <row r="21" spans="1:6" ht="38.25" x14ac:dyDescent="0.25">
      <c r="A21" s="41" t="s">
        <v>839</v>
      </c>
      <c r="B21" s="33" t="s">
        <v>845</v>
      </c>
      <c r="C21" s="34" t="s">
        <v>846</v>
      </c>
      <c r="D21" s="33" t="s">
        <v>847</v>
      </c>
      <c r="E21" s="33" t="s">
        <v>848</v>
      </c>
      <c r="F21" s="34" t="s">
        <v>844</v>
      </c>
    </row>
    <row r="22" spans="1:6" ht="38.25" x14ac:dyDescent="0.25">
      <c r="A22" s="41" t="s">
        <v>839</v>
      </c>
      <c r="B22" s="1" t="s">
        <v>849</v>
      </c>
      <c r="C22" s="37" t="s">
        <v>850</v>
      </c>
      <c r="D22" s="1" t="s">
        <v>411</v>
      </c>
      <c r="E22" s="1" t="s">
        <v>851</v>
      </c>
      <c r="F22" s="37" t="s">
        <v>844</v>
      </c>
    </row>
    <row r="23" spans="1:6" ht="25.5" x14ac:dyDescent="0.25">
      <c r="A23" s="41" t="s">
        <v>839</v>
      </c>
      <c r="B23" s="33" t="s">
        <v>852</v>
      </c>
      <c r="C23" s="34" t="s">
        <v>853</v>
      </c>
      <c r="D23" s="33" t="s">
        <v>854</v>
      </c>
      <c r="E23" s="33" t="s">
        <v>855</v>
      </c>
      <c r="F23" s="34" t="s">
        <v>844</v>
      </c>
    </row>
    <row r="24" spans="1:6" ht="25.5" x14ac:dyDescent="0.25">
      <c r="A24" s="41" t="s">
        <v>839</v>
      </c>
      <c r="B24" s="1" t="s">
        <v>856</v>
      </c>
      <c r="C24" s="37" t="s">
        <v>857</v>
      </c>
      <c r="D24" s="1" t="s">
        <v>858</v>
      </c>
      <c r="E24" s="1" t="s">
        <v>859</v>
      </c>
      <c r="F24" s="37" t="s">
        <v>844</v>
      </c>
    </row>
    <row r="25" spans="1:6" ht="25.5" x14ac:dyDescent="0.25">
      <c r="A25" s="41" t="s">
        <v>839</v>
      </c>
      <c r="B25" s="33" t="s">
        <v>860</v>
      </c>
      <c r="C25" s="34" t="s">
        <v>861</v>
      </c>
      <c r="D25" s="33" t="s">
        <v>862</v>
      </c>
      <c r="E25" s="33" t="s">
        <v>863</v>
      </c>
      <c r="F25" s="34" t="s">
        <v>844</v>
      </c>
    </row>
    <row r="26" spans="1:6" ht="51" x14ac:dyDescent="0.25">
      <c r="A26" s="42" t="s">
        <v>864</v>
      </c>
      <c r="B26" s="1" t="s">
        <v>865</v>
      </c>
      <c r="C26" s="37" t="s">
        <v>866</v>
      </c>
      <c r="D26" s="1" t="s">
        <v>867</v>
      </c>
      <c r="E26" s="1" t="s">
        <v>868</v>
      </c>
      <c r="F26" s="37" t="s">
        <v>869</v>
      </c>
    </row>
    <row r="27" spans="1:6" ht="51" x14ac:dyDescent="0.25">
      <c r="A27" s="42" t="s">
        <v>864</v>
      </c>
      <c r="B27" s="33" t="s">
        <v>870</v>
      </c>
      <c r="C27" s="34" t="s">
        <v>871</v>
      </c>
      <c r="D27" s="33" t="s">
        <v>872</v>
      </c>
      <c r="E27" s="33" t="s">
        <v>873</v>
      </c>
      <c r="F27" s="34" t="s">
        <v>869</v>
      </c>
    </row>
    <row r="28" spans="1:6" ht="38.25" x14ac:dyDescent="0.25">
      <c r="A28" s="42" t="s">
        <v>864</v>
      </c>
      <c r="B28" s="1" t="s">
        <v>874</v>
      </c>
      <c r="C28" s="37" t="s">
        <v>875</v>
      </c>
      <c r="D28" s="1" t="s">
        <v>876</v>
      </c>
      <c r="E28" s="1" t="s">
        <v>877</v>
      </c>
      <c r="F28" s="37" t="s">
        <v>869</v>
      </c>
    </row>
    <row r="29" spans="1:6" ht="38.25" x14ac:dyDescent="0.25">
      <c r="A29" s="42" t="s">
        <v>864</v>
      </c>
      <c r="B29" s="33" t="s">
        <v>878</v>
      </c>
      <c r="C29" s="34" t="s">
        <v>879</v>
      </c>
      <c r="D29" s="33" t="s">
        <v>880</v>
      </c>
      <c r="E29" s="33" t="s">
        <v>881</v>
      </c>
      <c r="F29" s="34" t="s">
        <v>869</v>
      </c>
    </row>
    <row r="31" spans="1:6" ht="21.75" customHeight="1" x14ac:dyDescent="0.25">
      <c r="A31" s="54" t="s">
        <v>882</v>
      </c>
      <c r="B31" s="54"/>
      <c r="C31" s="54"/>
      <c r="D31" s="54"/>
      <c r="E31" s="54"/>
      <c r="F31" s="54"/>
    </row>
    <row r="32" spans="1:6" ht="24.75" customHeight="1" x14ac:dyDescent="0.25">
      <c r="A32" s="55" t="s">
        <v>883</v>
      </c>
      <c r="B32" s="55"/>
      <c r="C32" s="55"/>
      <c r="D32" s="55"/>
      <c r="E32" s="55"/>
      <c r="F32" s="55"/>
    </row>
    <row r="33" spans="1:6" ht="15" customHeight="1" x14ac:dyDescent="0.25">
      <c r="A33" s="55" t="s">
        <v>884</v>
      </c>
      <c r="B33" s="55"/>
      <c r="C33" s="55"/>
      <c r="D33" s="55"/>
      <c r="E33" s="55"/>
      <c r="F33" s="55"/>
    </row>
    <row r="34" spans="1:6" ht="24.75" customHeight="1" x14ac:dyDescent="0.25">
      <c r="A34" s="55" t="s">
        <v>885</v>
      </c>
      <c r="B34" s="55"/>
      <c r="C34" s="55"/>
      <c r="D34" s="55"/>
      <c r="E34" s="55"/>
      <c r="F34" s="55"/>
    </row>
    <row r="35" spans="1:6" ht="24.75" customHeight="1" x14ac:dyDescent="0.25">
      <c r="A35" s="55" t="s">
        <v>886</v>
      </c>
      <c r="B35" s="55"/>
      <c r="C35" s="55"/>
      <c r="D35" s="55"/>
      <c r="E35" s="55"/>
      <c r="F35" s="55"/>
    </row>
    <row r="36" spans="1:6" ht="24.75" customHeight="1" x14ac:dyDescent="0.25">
      <c r="A36" s="55" t="s">
        <v>887</v>
      </c>
      <c r="B36" s="55"/>
      <c r="C36" s="55"/>
      <c r="D36" s="55"/>
      <c r="E36" s="55"/>
      <c r="F36" s="55"/>
    </row>
    <row r="37" spans="1:6" ht="24.75" customHeight="1" x14ac:dyDescent="0.25">
      <c r="A37" s="55" t="s">
        <v>888</v>
      </c>
      <c r="B37" s="55"/>
      <c r="C37" s="55"/>
      <c r="D37" s="55"/>
      <c r="E37" s="55"/>
      <c r="F37" s="55"/>
    </row>
    <row r="38" spans="1:6" ht="24.75" customHeight="1" x14ac:dyDescent="0.25">
      <c r="A38" s="55" t="s">
        <v>889</v>
      </c>
      <c r="B38" s="55"/>
      <c r="C38" s="55"/>
      <c r="D38" s="55"/>
      <c r="E38" s="55"/>
      <c r="F38" s="55"/>
    </row>
    <row r="39" spans="1:6" ht="24.75" customHeight="1" x14ac:dyDescent="0.25">
      <c r="A39" s="55" t="s">
        <v>890</v>
      </c>
      <c r="B39" s="55"/>
      <c r="C39" s="55"/>
      <c r="D39" s="55"/>
      <c r="E39" s="55"/>
      <c r="F39" s="55"/>
    </row>
    <row r="40" spans="1:6" ht="24.75" customHeight="1" x14ac:dyDescent="0.25">
      <c r="A40" s="55" t="s">
        <v>891</v>
      </c>
      <c r="B40" s="55"/>
      <c r="C40" s="55"/>
      <c r="D40" s="55"/>
      <c r="E40" s="55"/>
      <c r="F40" s="55"/>
    </row>
    <row r="41" spans="1:6" ht="24.75" customHeight="1" x14ac:dyDescent="0.25">
      <c r="A41" s="55" t="s">
        <v>892</v>
      </c>
      <c r="B41" s="55"/>
      <c r="C41" s="55"/>
      <c r="D41" s="55"/>
      <c r="E41" s="55"/>
      <c r="F41" s="55"/>
    </row>
  </sheetData>
  <autoFilter ref="A14:F29" xr:uid="{00000000-0009-0000-0000-00000A000000}"/>
  <mergeCells count="22">
    <mergeCell ref="A40:F40"/>
    <mergeCell ref="A41:F41"/>
    <mergeCell ref="A35:F35"/>
    <mergeCell ref="A36:F36"/>
    <mergeCell ref="A37:F37"/>
    <mergeCell ref="A38:F38"/>
    <mergeCell ref="A39:F39"/>
    <mergeCell ref="A13:F13"/>
    <mergeCell ref="A31:F31"/>
    <mergeCell ref="A32:F32"/>
    <mergeCell ref="A33:F33"/>
    <mergeCell ref="A34:F34"/>
    <mergeCell ref="B7:F7"/>
    <mergeCell ref="B8:F8"/>
    <mergeCell ref="B9:F9"/>
    <mergeCell ref="B10:F10"/>
    <mergeCell ref="B11:F11"/>
    <mergeCell ref="A1:F1"/>
    <mergeCell ref="A2:F2"/>
    <mergeCell ref="A4:F4"/>
    <mergeCell ref="B5:F5"/>
    <mergeCell ref="B6:F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5"/>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28" customWidth="1"/>
    <col min="2" max="2" width="34" customWidth="1"/>
    <col min="3" max="3" width="22" customWidth="1"/>
    <col min="4" max="4" width="120" customWidth="1"/>
  </cols>
  <sheetData>
    <row r="1" spans="1:4" ht="33.75" customHeight="1" x14ac:dyDescent="0.25">
      <c r="A1" s="51" t="s">
        <v>893</v>
      </c>
      <c r="B1" s="51"/>
      <c r="C1" s="51"/>
      <c r="D1" s="51"/>
    </row>
    <row r="2" spans="1:4" ht="18" customHeight="1" x14ac:dyDescent="0.25">
      <c r="A2" s="52" t="s">
        <v>894</v>
      </c>
      <c r="B2" s="52"/>
      <c r="C2" s="52"/>
      <c r="D2" s="52"/>
    </row>
    <row r="4" spans="1:4" x14ac:dyDescent="0.25">
      <c r="A4" s="16" t="s">
        <v>895</v>
      </c>
      <c r="B4" s="16" t="s">
        <v>25</v>
      </c>
      <c r="C4" s="16" t="s">
        <v>896</v>
      </c>
      <c r="D4" s="16" t="s">
        <v>897</v>
      </c>
    </row>
    <row r="5" spans="1:4" ht="15" customHeight="1" x14ac:dyDescent="0.25">
      <c r="A5" s="58" t="s">
        <v>898</v>
      </c>
      <c r="B5" s="12" t="s">
        <v>899</v>
      </c>
      <c r="C5" s="11" t="s">
        <v>900</v>
      </c>
      <c r="D5" s="59" t="s">
        <v>901</v>
      </c>
    </row>
    <row r="6" spans="1:4" x14ac:dyDescent="0.25">
      <c r="A6" s="58"/>
      <c r="B6" s="12" t="s">
        <v>902</v>
      </c>
      <c r="C6" s="11" t="s">
        <v>900</v>
      </c>
      <c r="D6" s="59"/>
    </row>
    <row r="7" spans="1:4" x14ac:dyDescent="0.25">
      <c r="A7" s="58"/>
      <c r="B7" s="12" t="s">
        <v>903</v>
      </c>
      <c r="C7" s="11" t="s">
        <v>900</v>
      </c>
      <c r="D7" s="59"/>
    </row>
    <row r="8" spans="1:4" x14ac:dyDescent="0.25">
      <c r="A8" s="58"/>
      <c r="B8" s="12" t="s">
        <v>904</v>
      </c>
      <c r="C8" s="11" t="s">
        <v>905</v>
      </c>
      <c r="D8" s="59"/>
    </row>
    <row r="9" spans="1:4" x14ac:dyDescent="0.25">
      <c r="A9" s="58"/>
      <c r="B9" s="12" t="s">
        <v>266</v>
      </c>
      <c r="C9" s="11" t="s">
        <v>906</v>
      </c>
      <c r="D9" s="59"/>
    </row>
    <row r="10" spans="1:4" x14ac:dyDescent="0.25">
      <c r="A10" s="58"/>
      <c r="B10" s="12" t="s">
        <v>907</v>
      </c>
      <c r="C10" s="11" t="s">
        <v>908</v>
      </c>
      <c r="D10" s="59"/>
    </row>
    <row r="11" spans="1:4" ht="15" customHeight="1" x14ac:dyDescent="0.25">
      <c r="A11" s="58" t="s">
        <v>909</v>
      </c>
      <c r="B11" s="12" t="s">
        <v>910</v>
      </c>
      <c r="C11" s="11" t="s">
        <v>900</v>
      </c>
      <c r="D11" s="59" t="s">
        <v>911</v>
      </c>
    </row>
    <row r="12" spans="1:4" x14ac:dyDescent="0.25">
      <c r="A12" s="58"/>
      <c r="B12" s="12" t="s">
        <v>912</v>
      </c>
      <c r="C12" s="11" t="s">
        <v>900</v>
      </c>
      <c r="D12" s="59"/>
    </row>
    <row r="13" spans="1:4" x14ac:dyDescent="0.25">
      <c r="A13" s="58"/>
      <c r="B13" s="12" t="s">
        <v>913</v>
      </c>
      <c r="C13" s="11" t="s">
        <v>905</v>
      </c>
      <c r="D13" s="59"/>
    </row>
    <row r="14" spans="1:4" x14ac:dyDescent="0.25">
      <c r="A14" s="58"/>
      <c r="B14" s="12" t="s">
        <v>914</v>
      </c>
      <c r="C14" s="11" t="s">
        <v>905</v>
      </c>
      <c r="D14" s="59"/>
    </row>
    <row r="15" spans="1:4" x14ac:dyDescent="0.25">
      <c r="A15" s="58"/>
      <c r="B15" s="12" t="s">
        <v>915</v>
      </c>
      <c r="C15" s="11" t="s">
        <v>906</v>
      </c>
      <c r="D15" s="59"/>
    </row>
    <row r="16" spans="1:4" x14ac:dyDescent="0.25">
      <c r="A16" s="58"/>
      <c r="B16" s="12" t="s">
        <v>916</v>
      </c>
      <c r="C16" s="11" t="s">
        <v>908</v>
      </c>
      <c r="D16" s="59"/>
    </row>
    <row r="17" spans="1:4" x14ac:dyDescent="0.25">
      <c r="A17" s="58"/>
      <c r="B17" s="12" t="s">
        <v>917</v>
      </c>
      <c r="C17" s="11" t="s">
        <v>908</v>
      </c>
      <c r="D17" s="59"/>
    </row>
    <row r="18" spans="1:4" ht="15" customHeight="1" x14ac:dyDescent="0.25">
      <c r="A18" s="58" t="s">
        <v>918</v>
      </c>
      <c r="B18" s="12" t="s">
        <v>919</v>
      </c>
      <c r="C18" s="11" t="s">
        <v>900</v>
      </c>
      <c r="D18" s="59" t="s">
        <v>920</v>
      </c>
    </row>
    <row r="19" spans="1:4" x14ac:dyDescent="0.25">
      <c r="A19" s="58"/>
      <c r="B19" s="12" t="s">
        <v>921</v>
      </c>
      <c r="C19" s="11" t="s">
        <v>905</v>
      </c>
      <c r="D19" s="59"/>
    </row>
    <row r="20" spans="1:4" x14ac:dyDescent="0.25">
      <c r="A20" s="58"/>
      <c r="B20" s="12" t="s">
        <v>922</v>
      </c>
      <c r="C20" s="11" t="s">
        <v>905</v>
      </c>
      <c r="D20" s="59"/>
    </row>
    <row r="21" spans="1:4" x14ac:dyDescent="0.25">
      <c r="A21" s="58"/>
      <c r="B21" s="12" t="s">
        <v>923</v>
      </c>
      <c r="C21" s="11" t="s">
        <v>906</v>
      </c>
      <c r="D21" s="59"/>
    </row>
    <row r="22" spans="1:4" x14ac:dyDescent="0.25">
      <c r="A22" s="58"/>
      <c r="B22" s="12" t="s">
        <v>281</v>
      </c>
      <c r="C22" s="11" t="s">
        <v>906</v>
      </c>
      <c r="D22" s="59"/>
    </row>
    <row r="23" spans="1:4" x14ac:dyDescent="0.25">
      <c r="A23" s="58"/>
      <c r="B23" s="12" t="s">
        <v>924</v>
      </c>
      <c r="C23" s="11" t="s">
        <v>908</v>
      </c>
      <c r="D23" s="59"/>
    </row>
    <row r="24" spans="1:4" ht="15" customHeight="1" x14ac:dyDescent="0.25">
      <c r="A24" s="58" t="s">
        <v>925</v>
      </c>
      <c r="B24" s="12" t="s">
        <v>926</v>
      </c>
      <c r="C24" s="11" t="s">
        <v>905</v>
      </c>
      <c r="D24" s="59" t="s">
        <v>927</v>
      </c>
    </row>
    <row r="25" spans="1:4" x14ac:dyDescent="0.25">
      <c r="A25" s="58"/>
      <c r="B25" s="12" t="s">
        <v>928</v>
      </c>
      <c r="C25" s="11" t="s">
        <v>905</v>
      </c>
      <c r="D25" s="59"/>
    </row>
    <row r="26" spans="1:4" x14ac:dyDescent="0.25">
      <c r="A26" s="58"/>
      <c r="B26" s="12" t="s">
        <v>929</v>
      </c>
      <c r="C26" s="11" t="s">
        <v>906</v>
      </c>
      <c r="D26" s="59"/>
    </row>
    <row r="27" spans="1:4" x14ac:dyDescent="0.25">
      <c r="A27" s="58"/>
      <c r="B27" s="12" t="s">
        <v>930</v>
      </c>
      <c r="C27" s="11" t="s">
        <v>908</v>
      </c>
      <c r="D27" s="59"/>
    </row>
    <row r="28" spans="1:4" ht="15" customHeight="1" x14ac:dyDescent="0.25">
      <c r="A28" s="58" t="s">
        <v>931</v>
      </c>
      <c r="B28" s="12" t="s">
        <v>290</v>
      </c>
      <c r="C28" s="11" t="s">
        <v>905</v>
      </c>
      <c r="D28" s="59" t="s">
        <v>932</v>
      </c>
    </row>
    <row r="29" spans="1:4" x14ac:dyDescent="0.25">
      <c r="A29" s="58"/>
      <c r="B29" s="12" t="s">
        <v>933</v>
      </c>
      <c r="C29" s="11" t="s">
        <v>905</v>
      </c>
      <c r="D29" s="59"/>
    </row>
    <row r="30" spans="1:4" x14ac:dyDescent="0.25">
      <c r="A30" s="58"/>
      <c r="B30" s="12" t="s">
        <v>934</v>
      </c>
      <c r="C30" s="11" t="s">
        <v>905</v>
      </c>
      <c r="D30" s="59"/>
    </row>
    <row r="31" spans="1:4" x14ac:dyDescent="0.25">
      <c r="A31" s="58"/>
      <c r="B31" s="12" t="s">
        <v>312</v>
      </c>
      <c r="C31" s="11" t="s">
        <v>935</v>
      </c>
      <c r="D31" s="59"/>
    </row>
    <row r="32" spans="1:4" x14ac:dyDescent="0.25">
      <c r="A32" s="58"/>
      <c r="B32" s="12" t="s">
        <v>320</v>
      </c>
      <c r="C32" s="11" t="s">
        <v>935</v>
      </c>
      <c r="D32" s="59"/>
    </row>
    <row r="33" spans="1:4" x14ac:dyDescent="0.25">
      <c r="A33" s="58"/>
      <c r="B33" s="12" t="s">
        <v>936</v>
      </c>
      <c r="C33" s="11" t="s">
        <v>906</v>
      </c>
      <c r="D33" s="59"/>
    </row>
    <row r="34" spans="1:4" x14ac:dyDescent="0.25">
      <c r="A34" s="58"/>
      <c r="B34" s="12" t="s">
        <v>470</v>
      </c>
      <c r="C34" s="11" t="s">
        <v>908</v>
      </c>
      <c r="D34" s="59"/>
    </row>
    <row r="35" spans="1:4" x14ac:dyDescent="0.25">
      <c r="A35" s="58"/>
      <c r="B35" s="12" t="s">
        <v>937</v>
      </c>
      <c r="C35" s="11" t="s">
        <v>908</v>
      </c>
      <c r="D35" s="59"/>
    </row>
    <row r="36" spans="1:4" ht="15" customHeight="1" x14ac:dyDescent="0.25">
      <c r="A36" s="58" t="s">
        <v>938</v>
      </c>
      <c r="B36" s="12" t="s">
        <v>939</v>
      </c>
      <c r="C36" s="11" t="s">
        <v>900</v>
      </c>
      <c r="D36" s="59" t="s">
        <v>940</v>
      </c>
    </row>
    <row r="37" spans="1:4" x14ac:dyDescent="0.25">
      <c r="A37" s="58"/>
      <c r="B37" s="12" t="s">
        <v>941</v>
      </c>
      <c r="C37" s="11" t="s">
        <v>900</v>
      </c>
      <c r="D37" s="59"/>
    </row>
    <row r="38" spans="1:4" x14ac:dyDescent="0.25">
      <c r="A38" s="58"/>
      <c r="B38" s="12" t="s">
        <v>942</v>
      </c>
      <c r="C38" s="11" t="s">
        <v>905</v>
      </c>
      <c r="D38" s="59"/>
    </row>
    <row r="39" spans="1:4" x14ac:dyDescent="0.25">
      <c r="A39" s="58"/>
      <c r="B39" s="12" t="s">
        <v>943</v>
      </c>
      <c r="C39" s="11" t="s">
        <v>905</v>
      </c>
      <c r="D39" s="59"/>
    </row>
    <row r="40" spans="1:4" x14ac:dyDescent="0.25">
      <c r="A40" s="58"/>
      <c r="B40" s="12" t="s">
        <v>944</v>
      </c>
      <c r="C40" s="11" t="s">
        <v>906</v>
      </c>
      <c r="D40" s="59"/>
    </row>
    <row r="41" spans="1:4" x14ac:dyDescent="0.25">
      <c r="A41" s="58"/>
      <c r="B41" s="12" t="s">
        <v>945</v>
      </c>
      <c r="C41" s="11" t="s">
        <v>908</v>
      </c>
      <c r="D41" s="59"/>
    </row>
    <row r="42" spans="1:4" x14ac:dyDescent="0.25">
      <c r="A42" s="58"/>
      <c r="B42" s="12" t="s">
        <v>946</v>
      </c>
      <c r="C42" s="11" t="s">
        <v>908</v>
      </c>
      <c r="D42" s="59"/>
    </row>
    <row r="43" spans="1:4" ht="15" customHeight="1" x14ac:dyDescent="0.25">
      <c r="A43" s="58" t="s">
        <v>947</v>
      </c>
      <c r="B43" s="12" t="s">
        <v>489</v>
      </c>
      <c r="C43" s="11" t="s">
        <v>905</v>
      </c>
      <c r="D43" s="59" t="s">
        <v>948</v>
      </c>
    </row>
    <row r="44" spans="1:4" x14ac:dyDescent="0.25">
      <c r="A44" s="58"/>
      <c r="B44" s="12" t="s">
        <v>345</v>
      </c>
      <c r="C44" s="11" t="s">
        <v>906</v>
      </c>
      <c r="D44" s="59"/>
    </row>
    <row r="45" spans="1:4" x14ac:dyDescent="0.25">
      <c r="A45" s="58"/>
      <c r="B45" s="12" t="s">
        <v>949</v>
      </c>
      <c r="C45" s="11" t="s">
        <v>908</v>
      </c>
      <c r="D45" s="59"/>
    </row>
  </sheetData>
  <mergeCells count="16">
    <mergeCell ref="A36:A42"/>
    <mergeCell ref="D36:D42"/>
    <mergeCell ref="A43:A45"/>
    <mergeCell ref="D43:D45"/>
    <mergeCell ref="A18:A23"/>
    <mergeCell ref="D18:D23"/>
    <mergeCell ref="A24:A27"/>
    <mergeCell ref="D24:D27"/>
    <mergeCell ref="A28:A35"/>
    <mergeCell ref="D28:D35"/>
    <mergeCell ref="A1:D1"/>
    <mergeCell ref="A2:D2"/>
    <mergeCell ref="A5:A10"/>
    <mergeCell ref="D5:D10"/>
    <mergeCell ref="A11:A17"/>
    <mergeCell ref="D11:D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Resumen Ejecutivo</vt:lpstr>
      <vt:lpstr>Industrial</vt:lpstr>
      <vt:lpstr>Sistemas</vt:lpstr>
      <vt:lpstr>Multimedia</vt:lpstr>
      <vt:lpstr>Agroindustrial</vt:lpstr>
      <vt:lpstr>Biomédica</vt:lpstr>
      <vt:lpstr>Electrónica</vt:lpstr>
      <vt:lpstr>Biológica</vt:lpstr>
      <vt:lpstr>Priorización</vt:lpstr>
      <vt:lpstr>Desarrollos Propios</vt:lpstr>
      <vt:lpstr>Recomendaciones</vt:lpstr>
      <vt:lpstr>Catálogo CompanyGame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Gonzalez</cp:lastModifiedBy>
  <cp:revision>0</cp:revision>
  <dcterms:created xsi:type="dcterms:W3CDTF">2026-09-03T13:52:50Z</dcterms:created>
  <dcterms:modified xsi:type="dcterms:W3CDTF">2026-09-07T21:42:08Z</dcterms:modified>
  <dc:language>en-US</dc:language>
</cp:coreProperties>
</file>